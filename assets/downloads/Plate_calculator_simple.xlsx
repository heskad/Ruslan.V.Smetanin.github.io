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4ce7817914d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ланшет" sheetId="1" r:id="R0f1eb070cda74dc6"/>
    <x:sheet xmlns:r="http://schemas.openxmlformats.org/officeDocument/2006/relationships" name="Расчёты" sheetId="2" r:id="R14fac4c72ce649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name val="Carlito"/>
    </x:font>
    <x:font>
      <x:b/>
      <x:sz val="14"/>
      <x:color rgb="FFFFFFFF"/>
      <x:name val="Carlito"/>
    </x:font>
    <x:font>
      <x:b/>
      <x:sz val="9"/>
      <x:name val="Carlito"/>
    </x:font>
    <x:font>
      <x:b/>
      <x:sz val="13"/>
      <x:color rgb="FFFFFFFF"/>
      <x:name val="Carlito"/>
    </x:font>
    <x:font>
      <x:i/>
      <x:sz val="11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44546A"/>
      </x:patternFill>
    </x:fill>
    <x:fill>
      <x:patternFill patternType="solid">
        <x:fgColor rgb="FF5B6573"/>
      </x:patternFill>
    </x:fill>
    <x:fill>
      <x:patternFill patternType="solid">
        <x:fgColor rgb="FFE7E6E6"/>
      </x:patternFill>
    </x:fill>
    <x:fill>
      <x:patternFill patternType="solid">
        <x:fgColor rgb="FFBDD7EE"/>
      </x:patternFill>
    </x:fill>
    <x:fill>
      <x:patternFill patternType="solid">
        <x:fgColor rgb="FFFCE4D6"/>
      </x:patternFill>
    </x:fill>
    <x:fill>
      <x:patternFill patternType="solid">
        <x:fgColor rgb="FFF8CBAD"/>
      </x:patternFill>
    </x:fill>
    <x:fill>
      <x:patternFill patternType="solid">
        <x:fgColor rgb="FFE4DFEC"/>
      </x:patternFill>
    </x:fill>
    <x:fill>
      <x:patternFill patternType="solid">
        <x:fgColor rgb="FFE2F0D9"/>
      </x:patternFill>
    </x:fill>
    <x:fill>
      <x:patternFill patternType="solid">
        <x:fgColor rgb="FFD9EAD3"/>
      </x:patternFill>
    </x:fill>
    <x:fill>
      <x:patternFill patternType="solid">
        <x:fgColor rgb="FFFFFFFF"/>
      </x:patternFill>
    </x:fill>
    <x:fill>
      <x:patternFill patternType="solid">
        <x:fgColor rgb="FF548235"/>
      </x:patternFill>
    </x:fill>
    <x:fill>
      <x:patternFill patternType="solid">
        <x:fgColor rgb="FF70AD47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1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0" fontId="0" fillId="0" borderId="0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horizontal="center" wrapText="1"/>
    </x:xf>
    <x:xf numFmtId="0" fontId="7" fillId="9" borderId="1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horizont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center" wrapText="1"/>
    </x:xf>
    <x:xf numFmtId="0" fontId="7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7" fillId="10" borderId="1" xfId="0" applyNumberFormat="1" applyFont="1" applyFill="1" applyBorder="1"/>
    <x:xf numFmtId="0" fontId="7" fillId="10" borderId="1" xfId="0" applyNumberFormat="1" applyFont="1" applyFill="1" applyBorder="1" applyAlignment="1">
      <x:alignment wrapText="1"/>
    </x:xf>
    <x:xf numFmtId="0" fontId="7" fillId="10" borderId="1" xfId="0" applyNumberFormat="1" applyFont="1" applyFill="1" applyBorder="1" applyAlignment="1">
      <x:alignment horizontal="center" wrapText="1"/>
    </x:xf>
    <x:xf numFmtId="0" fontId="7" fillId="10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wrapText="1"/>
    </x:xf>
    <x:xf numFmtId="0" fontId="7" fillId="11" borderId="0" xfId="0" applyNumberFormat="1" applyFont="1" applyFill="1" applyBorder="1" applyAlignment="1">
      <x:alignment horizontal="center" wrapText="1"/>
    </x:xf>
    <x:xf numFmtId="0" fontId="7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/>
    <x:xf numFmtId="0" fontId="7" fillId="11" borderId="1" xfId="0" applyNumberFormat="1" applyFont="1" applyFill="1" applyBorder="1"/>
    <x:xf numFmtId="0" fontId="7" fillId="11" borderId="1" xfId="0" applyNumberFormat="1" applyFont="1" applyFill="1" applyBorder="1" applyAlignment="1">
      <x:alignment wrapText="1"/>
    </x:xf>
    <x:xf numFmtId="0" fontId="7" fillId="11" borderId="1" xfId="0" applyNumberFormat="1" applyFont="1" applyFill="1" applyBorder="1" applyAlignment="1">
      <x:alignment horizontal="center" wrapText="1"/>
    </x:xf>
    <x:xf numFmtId="0" fontId="7" fillId="11" borderId="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wrapText="1"/>
    </x:xf>
    <x:xf numFmtId="0" fontId="7" fillId="12" borderId="0" xfId="0" applyNumberFormat="1" applyFont="1" applyFill="1" applyBorder="1" applyAlignment="1">
      <x:alignment horizontal="center" wrapText="1"/>
    </x:xf>
    <x:xf numFmtId="0" fontId="7" fillId="12" borderId="0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/>
    <x:xf numFmtId="0" fontId="7" fillId="12" borderId="1" xfId="0" applyNumberFormat="1" applyFont="1" applyFill="1" applyBorder="1"/>
    <x:xf numFmtId="0" fontId="7" fillId="12" borderId="1" xfId="0" applyNumberFormat="1" applyFont="1" applyFill="1" applyBorder="1" applyAlignment="1">
      <x:alignment wrapText="1"/>
    </x:xf>
    <x:xf numFmtId="0" fontId="7" fillId="12" borderId="1" xfId="0" applyNumberFormat="1" applyFont="1" applyFill="1" applyBorder="1" applyAlignment="1">
      <x:alignment horizontal="center" wrapText="1"/>
    </x:xf>
    <x:xf numFmtId="0" fontId="7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wrapText="1"/>
    </x:xf>
    <x:xf numFmtId="0" fontId="7" fillId="13" borderId="0" xfId="0" applyNumberFormat="1" applyFont="1" applyFill="1" applyBorder="1" applyAlignment="1">
      <x:alignment horizontal="center" wrapText="1"/>
    </x:xf>
    <x:xf numFmtId="0" fontId="7" fillId="13" borderId="0" xfId="0" applyNumberFormat="1" applyFont="1" applyFill="1" applyBorder="1" applyAlignment="1">
      <x:alignment horizontal="center" vertical="center" wrapText="1"/>
    </x:xf>
    <x:xf numFmtId="0" fontId="0" fillId="13" borderId="1" xfId="0" applyNumberFormat="1" applyFont="1" applyFill="1" applyBorder="1"/>
    <x:xf numFmtId="0" fontId="7" fillId="13" borderId="1" xfId="0" applyNumberFormat="1" applyFont="1" applyFill="1" applyBorder="1"/>
    <x:xf numFmtId="0" fontId="7" fillId="13" borderId="1" xfId="0" applyNumberFormat="1" applyFont="1" applyFill="1" applyBorder="1" applyAlignment="1">
      <x:alignment wrapText="1"/>
    </x:xf>
    <x:xf numFmtId="0" fontId="7" fillId="13" borderId="1" xfId="0" applyNumberFormat="1" applyFont="1" applyFill="1" applyBorder="1" applyAlignment="1">
      <x:alignment horizontal="center" wrapText="1"/>
    </x:xf>
    <x:xf numFmtId="0" fontId="7" fillId="13" borderId="1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0" fontId="7" fillId="14" borderId="0" xfId="0" applyNumberFormat="1" applyFont="1" applyFill="1" applyBorder="1" applyAlignment="1">
      <x:alignment wrapText="1"/>
    </x:xf>
    <x:xf numFmtId="0" fontId="7" fillId="14" borderId="0" xfId="0" applyNumberFormat="1" applyFont="1" applyFill="1" applyBorder="1" applyAlignment="1">
      <x:alignment horizontal="center" wrapText="1"/>
    </x:xf>
    <x:xf numFmtId="0" fontId="7" fillId="14" borderId="0" xfId="0" applyNumberFormat="1" applyFont="1" applyFill="1" applyBorder="1" applyAlignment="1">
      <x:alignment horizontal="center" vertical="center" wrapText="1"/>
    </x:xf>
    <x:xf numFmtId="0" fontId="0" fillId="14" borderId="1" xfId="0" applyNumberFormat="1" applyFont="1" applyFill="1" applyBorder="1"/>
    <x:xf numFmtId="0" fontId="7" fillId="14" borderId="1" xfId="0" applyNumberFormat="1" applyFont="1" applyFill="1" applyBorder="1"/>
    <x:xf numFmtId="0" fontId="7" fillId="14" borderId="1" xfId="0" applyNumberFormat="1" applyFont="1" applyFill="1" applyBorder="1" applyAlignment="1">
      <x:alignment wrapText="1"/>
    </x:xf>
    <x:xf numFmtId="0" fontId="7" fillId="14" borderId="1" xfId="0" applyNumberFormat="1" applyFont="1" applyFill="1" applyBorder="1" applyAlignment="1">
      <x:alignment horizontal="center" wrapText="1"/>
    </x:xf>
    <x:xf numFmtId="0" fontId="7" fillId="14" borderId="1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horizontal="center" wrapText="1"/>
    </x:xf>
    <x:xf numFmtId="0" fontId="7" fillId="15" borderId="0" xfId="0" applyNumberFormat="1" applyFont="1" applyFill="1" applyBorder="1" applyAlignment="1">
      <x:alignment horizontal="center" vertical="center" wrapText="1"/>
    </x:xf>
    <x:xf numFmtId="0" fontId="0" fillId="15" borderId="1" xfId="0" applyNumberFormat="1" applyFont="1" applyFill="1" applyBorder="1"/>
    <x:xf numFmtId="0" fontId="7" fillId="15" borderId="1" xfId="0" applyNumberFormat="1" applyFont="1" applyFill="1" applyBorder="1"/>
    <x:xf numFmtId="0" fontId="7" fillId="15" borderId="1" xfId="0" applyNumberFormat="1" applyFont="1" applyFill="1" applyBorder="1" applyAlignment="1">
      <x:alignment wrapText="1"/>
    </x:xf>
    <x:xf numFmtId="0" fontId="7" fillId="15" borderId="1" xfId="0" applyNumberFormat="1" applyFont="1" applyFill="1" applyBorder="1" applyAlignment="1">
      <x:alignment horizontal="center" wrapText="1"/>
    </x:xf>
    <x:xf numFmtId="0" fontId="7" fillId="15" borderId="1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7" fillId="16" borderId="0" xfId="0" applyNumberFormat="1" applyFont="1" applyFill="1" applyBorder="1"/>
    <x:xf numFmtId="0" fontId="7" fillId="16" borderId="0" xfId="0" applyNumberFormat="1" applyFont="1" applyFill="1" applyBorder="1" applyAlignment="1">
      <x:alignment wrapText="1"/>
    </x:xf>
    <x:xf numFmtId="0" fontId="7" fillId="16" borderId="0" xfId="0" applyNumberFormat="1" applyFont="1" applyFill="1" applyBorder="1" applyAlignment="1">
      <x:alignment horizontal="center" wrapText="1"/>
    </x:xf>
    <x:xf numFmtId="0" fontId="7" fillId="16" borderId="0" xfId="0" applyNumberFormat="1" applyFont="1" applyFill="1" applyBorder="1" applyAlignment="1">
      <x:alignment horizontal="center" vertical="center" wrapText="1"/>
    </x:xf>
    <x:xf numFmtId="0" fontId="0" fillId="16" borderId="1" xfId="0" applyNumberFormat="1" applyFont="1" applyFill="1" applyBorder="1"/>
    <x:xf numFmtId="0" fontId="7" fillId="16" borderId="1" xfId="0" applyNumberFormat="1" applyFont="1" applyFill="1" applyBorder="1"/>
    <x:xf numFmtId="0" fontId="7" fillId="16" borderId="1" xfId="0" applyNumberFormat="1" applyFont="1" applyFill="1" applyBorder="1" applyAlignment="1">
      <x:alignment wrapText="1"/>
    </x:xf>
    <x:xf numFmtId="0" fontId="7" fillId="16" borderId="1" xfId="0" applyNumberFormat="1" applyFont="1" applyFill="1" applyBorder="1" applyAlignment="1">
      <x:alignment horizontal="center" wrapText="1"/>
    </x:xf>
    <x:xf numFmtId="0" fontId="7" fillId="16" borderId="1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8" fillId="17" borderId="0" xfId="0" applyNumberFormat="1" applyFont="1" applyFill="1" applyBorder="1" applyAlignment="1">
      <x:alignment horizontal="center"/>
    </x:xf>
    <x:xf numFmtId="0" fontId="0" fillId="17" borderId="1" xfId="0" applyNumberFormat="1" applyFont="1" applyFill="1" applyBorder="1"/>
    <x:xf numFmtId="0" fontId="8" fillId="17" borderId="1" xfId="0" applyNumberFormat="1" applyFont="1" applyFill="1" applyBorder="1"/>
    <x:xf numFmtId="0" fontId="8" fillId="17" borderId="1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horizontal="center" wrapText="1"/>
    </x:xf>
    <x:xf numFmtId="0" fontId="3" fillId="18" borderId="0" xfId="0" applyNumberFormat="1" applyFont="1" applyFill="1" applyBorder="1" applyAlignment="1">
      <x:alignment horizontal="center" vertical="center" wrapText="1"/>
    </x:xf>
    <x:xf numFmtId="0" fontId="0" fillId="18" borderId="1" xfId="0" applyNumberFormat="1" applyFont="1" applyFill="1" applyBorder="1"/>
    <x:xf numFmtId="0" fontId="3" fillId="18" borderId="1" xfId="0" applyNumberFormat="1" applyFont="1" applyFill="1" applyBorder="1"/>
    <x:xf numFmtId="0" fontId="3" fillId="18" borderId="1" xfId="0" applyNumberFormat="1" applyFont="1" applyFill="1" applyBorder="1" applyAlignment="1">
      <x:alignment wrapText="1"/>
    </x:xf>
    <x:xf numFmtId="0" fontId="3" fillId="18" borderId="1" xfId="0" applyNumberFormat="1" applyFont="1" applyFill="1" applyBorder="1" applyAlignment="1">
      <x:alignment horizontal="center" wrapText="1"/>
    </x:xf>
    <x:xf numFmtId="0" fontId="3" fillId="18" borderId="1" xfId="0" applyNumberFormat="1" applyFont="1" applyFill="1" applyBorder="1" applyAlignment="1">
      <x:alignment horizontal="center" vertical="center" wrapText="1"/>
    </x:xf>
    <x:xf numFmtId="201" fontId="0" fillId="14" borderId="0" xfId="0" applyNumberFormat="1" applyFont="1" applyFill="1" applyBorder="1"/>
    <x:xf numFmtId="201" fontId="0" fillId="1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0" xfId="0" applyNumberFormat="1" applyFont="1" applyFill="1" applyBorder="1" applyAlignment="1">
      <x:alignment wrapText="1"/>
    </x:xf>
    <x:xf numFmtId="0" fontId="9" fillId="19" borderId="0" xfId="0" applyNumberFormat="1" applyFont="1" applyFill="1" applyBorder="1" applyAlignment="1">
      <x:alignment horizontal="left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c5f3c346ee426e" /><Relationship Type="http://schemas.openxmlformats.org/officeDocument/2006/relationships/theme" Target="/xl/theme/theme1.xml" Id="Rec4933af6ed74881" /><Relationship Type="http://schemas.openxmlformats.org/officeDocument/2006/relationships/sharedStrings" Target="/xl/sharedStrings.xml" Id="Rd18ac0535cc044f7" /><Relationship Type="http://schemas.openxmlformats.org/officeDocument/2006/relationships/worksheet" Target="/xl/worksheets/sheet1.xml" Id="R0f1eb070cda74dc6" /><Relationship Type="http://schemas.openxmlformats.org/officeDocument/2006/relationships/worksheet" Target="/xl/worksheets/sheet2.xml" Id="R14fac4c72ce649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1" max="1" width="18" hidden="0" customWidth="1"/>
    <x:col min="6" max="6" width="18" hidden="0" customWidth="1"/>
    <x:col min="7" max="7" width="28" hidden="0" customWidth="1"/>
  </x:cols>
  <x:sheetData>
    <x:row r="1" ht="30" customHeight="1">
      <x:c r="A1" s="5" t="str">
        <x:v>ПЛАН ЭКСПЕРИМЕНТА — 96-ЛУНОЧНЫЙ ПЛАНШЕТ</x:v>
      </x:c>
      <x:c r="B1" s="5"/>
      <x:c r="C1" s="5"/>
      <x:c r="D1" s="5"/>
      <x:c r="E1" s="5"/>
      <x:c r="F1" s="5"/>
      <x:c r="G1" s="5"/>
    </x:row>
    <x:row r="2" ht="28" customHeight="1">
      <x:c r="A2" s="13" t="str">
        <x:v>Жёлтые ячейки можно менять. В планшете каждая колонка ниже означает три одинаковые лунки.</x:v>
      </x:c>
      <x:c r="B2" s="13"/>
      <x:c r="C2" s="13"/>
      <x:c r="D2" s="13"/>
      <x:c r="E2" s="13"/>
      <x:c r="F2" s="13"/>
      <x:c r="G2" s="13"/>
    </x:row>
    <x:row r="4">
      <x:c r="A4" s="20" t="str">
        <x:v>ОБЩИЕ НАСТРОЙКИ</x:v>
      </x:c>
      <x:c r="B4" s="20"/>
      <x:c r="D4" s="20" t="str">
        <x:v>Препарат</x:v>
      </x:c>
      <x:c r="E4" s="20" t="str">
        <x:v>Сток, µM</x:v>
      </x:c>
      <x:c r="F4" s="20" t="str">
        <x:v>Рабочий, µM</x:v>
      </x:c>
      <x:c r="G4" s="20" t="str">
        <x:v>Цвет</x:v>
      </x:c>
    </x:row>
    <x:row r="5">
      <x:c r="A5" s="30" t="str">
        <x:v>Среда в лунке, µL</x:v>
      </x:c>
      <x:c r="B5" s="26" t="n">
        <x:v>100</x:v>
      </x:c>
      <x:c r="D5" s="30" t="str">
        <x:v>BzATP</x:v>
      </x:c>
      <x:c r="E5" s="31" t="n">
        <x:v>50000</x:v>
      </x:c>
      <x:c r="F5" s="31" t="n">
        <x:v>5000</x:v>
      </x:c>
      <x:c r="G5" s="30" t="str">
        <x:v>зелёный</x:v>
      </x:c>
    </x:row>
    <x:row r="6">
      <x:c r="A6" s="30" t="str">
        <x:v>Количество плашек</x:v>
      </x:c>
      <x:c r="B6" s="26" t="n">
        <x:v>2</x:v>
      </x:c>
      <x:c r="D6" s="30" t="str">
        <x:v>Cabozantinib</x:v>
      </x:c>
      <x:c r="E6" s="31" t="n">
        <x:v>20000</x:v>
      </x:c>
      <x:c r="F6" s="31" t="n">
        <x:v>200</x:v>
      </x:c>
      <x:c r="G6" s="30" t="str">
        <x:v>синий</x:v>
      </x:c>
    </x:row>
    <x:row r="7">
      <x:c r="A7" s="30" t="str">
        <x:v>Повторов на условие</x:v>
      </x:c>
      <x:c r="B7" s="26" t="n">
        <x:v>3</x:v>
      </x:c>
      <x:c r="D7" s="30" t="str">
        <x:v>Axitinib</x:v>
      </x:c>
      <x:c r="E7" s="31" t="n">
        <x:v>20000</x:v>
      </x:c>
      <x:c r="F7" s="31" t="n">
        <x:v>50</x:v>
      </x:c>
      <x:c r="G7" s="30" t="str">
        <x:v>оранжевый</x:v>
      </x:c>
    </x:row>
    <x:row r="8">
      <x:c r="A8" s="30" t="str">
        <x:v>Запас</x:v>
      </x:c>
      <x:c r="B8" s="28" t="n">
        <x:v>0.15</x:v>
      </x:c>
      <x:c r="D8" s="30" t="str">
        <x:v>HEI3090</x:v>
      </x:c>
      <x:c r="E8" s="31" t="n">
        <x:v>20000</x:v>
      </x:c>
      <x:c r="F8" s="31" t="n">
        <x:v>10</x:v>
      </x:c>
      <x:c r="G8" s="30" t="str">
        <x:v>фиолетовый</x:v>
      </x:c>
    </x:row>
    <x:row r="10" ht="26" customHeight="1">
      <x:c r="A10" s="36" t="str">
        <x:v>Ряд</x:v>
      </x:c>
      <x:c r="B10" s="36" t="str">
        <x:v>Лунки 1–3</x:v>
      </x:c>
      <x:c r="C10" s="36" t="str">
        <x:v>Лунки 4–6</x:v>
      </x:c>
      <x:c r="D10" s="36" t="str">
        <x:v>Лунки 7–9</x:v>
      </x:c>
      <x:c r="E10" s="36" t="str">
        <x:v>Лунки 10–12</x:v>
      </x:c>
    </x:row>
    <x:row r="11" ht="62" customHeight="1">
      <x:c r="A11" s="43" t="str">
        <x:v>A</x:v>
      </x:c>
      <x:c r="B11" s="69" t="str">
        <x:f>'Расчёты'!D4</x:f>
        <x:v>Medium</x:v>
      </x:c>
      <x:c r="C11" s="69" t="str">
        <x:f>'Расчёты'!D12</x:f>
        <x:v>Medium</x:v>
      </x:c>
      <x:c r="D11" s="127" t="str">
        <x:f>'Расчёты'!D20&amp;CHAR(10)&amp;'Расчёты'!E20&amp;": "&amp;TEXT('Расчёты'!H20,"0.00")&amp;" µL"</x:f>
        <x:v>BzATP 200 µM
BzATP: 4.17 µL</x:v>
      </x:c>
      <x:c r="E11" s="127" t="str">
        <x:f>'Расчёты'!D28&amp;CHAR(10)&amp;'Расчёты'!E28&amp;": "&amp;TEXT('Расчёты'!H28,"0.00")&amp;" µL"</x:f>
        <x:v>BzATP 200 µM
BzATP: 4.17 µL</x:v>
      </x:c>
    </x:row>
    <x:row r="12" ht="62" customHeight="1">
      <x:c r="A12" s="43" t="str">
        <x:v>B</x:v>
      </x:c>
      <x:c r="B12" s="78" t="str">
        <x:f>'Расчёты'!D5&amp;CHAR(10)&amp;'Расчёты'!E5&amp;": "&amp;TEXT('Расчёты'!H5,"0.00")&amp;" µL"</x:f>
        <x:v>Cabozantinib 4 µM
Cabozantinib: 2.04 µL</x:v>
      </x:c>
      <x:c r="C12" s="78" t="str">
        <x:f>'Расчёты'!D13&amp;CHAR(10)&amp;'Расчёты'!E13&amp;": "&amp;TEXT('Расчёты'!H13,"0.00")&amp;" µL"</x:f>
        <x:v>Cabozantinib 8 µM
Cabozantinib: 4.17 µL</x:v>
      </x:c>
      <x:c r="D12" s="78" t="str">
        <x:f>'Расчёты'!D21&amp;CHAR(10)&amp;'Расчёты'!E21&amp;": "&amp;TEXT('Расчёты'!H21,"0.00")&amp;" µL"</x:f>
        <x:v>Cabozantinib 12 µM
Cabozantinib: 6.38 µL</x:v>
      </x:c>
      <x:c r="E12" s="78" t="str">
        <x:f>'Расчёты'!D29&amp;CHAR(10)&amp;'Расчёты'!E29&amp;": "&amp;TEXT('Расчёты'!H29,"0.00")&amp;" µL"</x:f>
        <x:v>Cabozantinib 16 µM
Cabozantinib: 8.70 µL</x:v>
      </x:c>
    </x:row>
    <x:row r="13" ht="62" customHeight="1">
      <x:c r="A13" s="43" t="str">
        <x:v>C</x:v>
      </x:c>
      <x:c r="B13" s="87" t="str">
        <x:f>'Расчёты'!D6&amp;CHAR(10)&amp;'Расчёты'!E6&amp;": "&amp;TEXT('Расчёты'!H6,"0.00")&amp;" µL"&amp;CHAR(10)&amp;'Расчёты'!I6&amp;": "&amp;TEXT('Расчёты'!L6,"0.00")&amp;" µL"</x:f>
        <x:v>Cabozantinib 4 µM + BzATP 200 µM
Cabozantinib: 2.13 µL
BzATP: 4.26 µL</x:v>
      </x:c>
      <x:c r="C13" s="87" t="str">
        <x:f>'Расчёты'!D14&amp;CHAR(10)&amp;'Расчёты'!E14&amp;": "&amp;TEXT('Расчёты'!H14,"0.00")&amp;" µL"&amp;CHAR(10)&amp;'Расчёты'!I14&amp;": "&amp;TEXT('Расчёты'!L14,"0.00")&amp;" µL"</x:f>
        <x:v>Cabozantinib 8 µM + BzATP 200 µM
Cabozantinib: 4.35 µL
BzATP: 4.35 µL</x:v>
      </x:c>
      <x:c r="D13" s="87" t="str">
        <x:f>'Расчёты'!D22&amp;CHAR(10)&amp;'Расчёты'!E22&amp;": "&amp;TEXT('Расчёты'!H22,"0.00")&amp;" µL"&amp;CHAR(10)&amp;'Расчёты'!I22&amp;": "&amp;TEXT('Расчёты'!L22,"0.00")&amp;" µL"</x:f>
        <x:v>Cabozantinib 12 µM + BzATP 200 µM
Cabozantinib: 6.67 µL
BzATP: 4.44 µL</x:v>
      </x:c>
      <x:c r="E13" s="87" t="str">
        <x:f>'Расчёты'!D30&amp;CHAR(10)&amp;'Расчёты'!E30&amp;": "&amp;TEXT('Расчёты'!H30,"0.00")&amp;" µL"&amp;CHAR(10)&amp;'Расчёты'!I30&amp;": "&amp;TEXT('Расчёты'!L30,"0.00")&amp;" µL"</x:f>
        <x:v>Cabozantinib 16 µM + BzATP 200 µM
Cabozantinib: 9.09 µL
BzATP: 4.55 µL</x:v>
      </x:c>
    </x:row>
    <x:row r="14" ht="62" customHeight="1">
      <x:c r="A14" s="43" t="str">
        <x:v>D</x:v>
      </x:c>
      <x:c r="B14" s="97" t="str">
        <x:f>'Расчёты'!D7&amp;CHAR(10)&amp;'Расчёты'!E7&amp;": "&amp;TEXT('Расчёты'!H7,"0.00")&amp;" µL"</x:f>
        <x:v>Axitinib 1 µM
Axitinib: 2.04 µL</x:v>
      </x:c>
      <x:c r="C14" s="97" t="str">
        <x:f>'Расчёты'!D15&amp;CHAR(10)&amp;'Расчёты'!E15&amp;": "&amp;TEXT('Расчёты'!H15,"0.00")&amp;" µL"</x:f>
        <x:v>Axitinib 2 µM
Axitinib: 4.17 µL</x:v>
      </x:c>
      <x:c r="D14" s="97" t="str">
        <x:f>'Расчёты'!D23&amp;CHAR(10)&amp;'Расчёты'!E23&amp;": "&amp;TEXT('Расчёты'!H23,"0.00")&amp;" µL"</x:f>
        <x:v>Axitinib 3 µM
Axitinib: 6.38 µL</x:v>
      </x:c>
      <x:c r="E14" s="97" t="str">
        <x:f>'Расчёты'!D31&amp;CHAR(10)&amp;'Расчёты'!E31&amp;": "&amp;TEXT('Расчёты'!H31,"0.00")&amp;" µL"</x:f>
        <x:v>Axitinib 4 µM
Axitinib: 8.70 µL</x:v>
      </x:c>
    </x:row>
    <x:row r="15" ht="62" customHeight="1">
      <x:c r="A15" s="43" t="str">
        <x:v>E</x:v>
      </x:c>
      <x:c r="B15" s="107" t="str">
        <x:f>'Расчёты'!D8&amp;CHAR(10)&amp;'Расчёты'!E8&amp;": "&amp;TEXT('Расчёты'!H8,"0.00")&amp;" µL"&amp;CHAR(10)&amp;'Расчёты'!I8&amp;": "&amp;TEXT('Расчёты'!L8,"0.00")&amp;" µL"</x:f>
        <x:v>Axitinib 1 µM + BzATP 200 µM
Axitinib: 2.13 µL
BzATP: 4.26 µL</x:v>
      </x:c>
      <x:c r="C15" s="107" t="str">
        <x:f>'Расчёты'!D16&amp;CHAR(10)&amp;'Расчёты'!E16&amp;": "&amp;TEXT('Расчёты'!H16,"0.00")&amp;" µL"&amp;CHAR(10)&amp;'Расчёты'!I16&amp;": "&amp;TEXT('Расчёты'!L16,"0.00")&amp;" µL"</x:f>
        <x:v>Axitinib 2 µM + BzATP 200 µM
Axitinib: 4.35 µL
BzATP: 4.35 µL</x:v>
      </x:c>
      <x:c r="D15" s="107" t="str">
        <x:f>'Расчёты'!D24&amp;CHAR(10)&amp;'Расчёты'!E24&amp;": "&amp;TEXT('Расчёты'!H24,"0.00")&amp;" µL"&amp;CHAR(10)&amp;'Расчёты'!I24&amp;": "&amp;TEXT('Расчёты'!L24,"0.00")&amp;" µL"</x:f>
        <x:v>Axitinib 3 µM + BzATP 200 µM
Axitinib: 6.67 µL
BzATP: 4.44 µL</x:v>
      </x:c>
      <x:c r="E15" s="107" t="str">
        <x:f>'Расчёты'!D32&amp;CHAR(10)&amp;'Расчёты'!E32&amp;": "&amp;TEXT('Расчёты'!H32,"0.00")&amp;" µL"&amp;CHAR(10)&amp;'Расчёты'!I32&amp;": "&amp;TEXT('Расчёты'!L32,"0.00")&amp;" µL"</x:f>
        <x:v>Axitinib 4 µM + BzATP 200 µM
Axitinib: 9.09 µL
BzATP: 4.55 µL</x:v>
      </x:c>
    </x:row>
    <x:row r="16" ht="62" customHeight="1">
      <x:c r="A16" s="43" t="str">
        <x:v>F</x:v>
      </x:c>
      <x:c r="B16" s="117" t="str">
        <x:f>'Расчёты'!D9&amp;CHAR(10)&amp;'Расчёты'!E9&amp;": "&amp;TEXT('Расчёты'!H9,"0.00")&amp;" µL"</x:f>
        <x:v>HEI3090 100 nM
HEI3090: 1.01 µL</x:v>
      </x:c>
      <x:c r="C16" s="127" t="str">
        <x:f>'Расчёты'!D17&amp;CHAR(10)&amp;'Расчёты'!E17&amp;": "&amp;TEXT('Расчёты'!H17,"0.00")&amp;" µL"</x:f>
        <x:v>BzATP 30 µM
BzATP: 0.60 µL</x:v>
      </x:c>
      <x:c r="D16" s="127" t="str">
        <x:f>'Расчёты'!D25&amp;CHAR(10)&amp;'Расчёты'!E25&amp;": "&amp;TEXT('Расчёты'!H25,"0.00")&amp;" µL"</x:f>
        <x:v>BzATP 100 µM
BzATP: 2.04 µL</x:v>
      </x:c>
      <x:c r="E16" s="127" t="str">
        <x:f>'Расчёты'!D33&amp;CHAR(10)&amp;'Расчёты'!E33&amp;": "&amp;TEXT('Расчёты'!H33,"0.00")&amp;" µL"</x:f>
        <x:v>BzATP 200 µM
BzATP: 4.17 µL</x:v>
      </x:c>
    </x:row>
    <x:row r="17" ht="62" customHeight="1">
      <x:c r="A17" s="43" t="str">
        <x:v>G</x:v>
      </x:c>
      <x:c r="B17" s="117" t="str">
        <x:f>'Расчёты'!D10&amp;CHAR(10)&amp;'Расчёты'!E10&amp;": "&amp;TEXT('Расчёты'!H10,"0.00")&amp;" µL"</x:f>
        <x:v>HEI3090 100 nM
HEI3090: 1.01 µL</x:v>
      </x:c>
      <x:c r="C17" s="137" t="str">
        <x:f>'Расчёты'!D18&amp;CHAR(10)&amp;'Расчёты'!E18&amp;": "&amp;TEXT('Расчёты'!H18,"0.00")&amp;" µL"&amp;CHAR(10)&amp;'Расчёты'!I18&amp;": "&amp;TEXT('Расчёты'!L18,"0.00")&amp;" µL"</x:f>
        <x:v>BzATP 30 µM + HEI3090 100 nM
BzATP: 0.61 µL
HEI3090: 1.02 µL</x:v>
      </x:c>
      <x:c r="D17" s="137" t="str">
        <x:f>'Расчёты'!D26&amp;CHAR(10)&amp;'Расчёты'!E26&amp;": "&amp;TEXT('Расчёты'!H26,"0.00")&amp;" µL"&amp;CHAR(10)&amp;'Расчёты'!I26&amp;": "&amp;TEXT('Расчёты'!L26,"0.00")&amp;" µL"</x:f>
        <x:v>BzATP 100 µM + HEI3090 100 nM
BzATP: 2.06 µL
HEI3090: 1.03 µL</x:v>
      </x:c>
      <x:c r="E17" s="137" t="str">
        <x:f>'Расчёты'!D34&amp;CHAR(10)&amp;'Расчёты'!E34&amp;": "&amp;TEXT('Расчёты'!H34,"0.00")&amp;" µL"&amp;CHAR(10)&amp;'Расчёты'!I34&amp;": "&amp;TEXT('Расчёты'!L34,"0.00")&amp;" µL"</x:f>
        <x:v>BzATP 200 µM + HEI3090 100 nM
BzATP: 4.21 µL
HEI3090: 1.05 µL</x:v>
      </x:c>
    </x:row>
    <x:row r="18" ht="62" customHeight="1">
      <x:c r="A18" s="43" t="str">
        <x:v>H</x:v>
      </x:c>
      <x:c r="B18" s="69" t="str">
        <x:f>'Расчёты'!D11</x:f>
        <x:v>Medium</x:v>
      </x:c>
      <x:c r="C18" s="69" t="str">
        <x:f>'Расчёты'!D19</x:f>
        <x:v>Medium</x:v>
      </x:c>
      <x:c r="D18" s="69" t="str">
        <x:f>'Расчёты'!D27</x:f>
        <x:v>Medium</x:v>
      </x:c>
      <x:c r="E18" s="147" t="str">
        <x:f>'Расчёты'!D35</x:f>
        <x:v>Blank</x:v>
      </x:c>
    </x:row>
    <x:row r="21">
      <x:c r="A21" s="155" t="str">
        <x:v>СКОЛЬКО РАБОЧЕГО РАСТВОРА ПРИГОТОВИТЬ</x:v>
      </x:c>
      <x:c r="B21" s="155"/>
      <x:c r="C21" s="155"/>
      <x:c r="D21" s="155"/>
      <x:c r="E21" s="155"/>
      <x:c r="F21" s="155"/>
      <x:c r="G21" s="155"/>
    </x:row>
    <x:row r="22" ht="38" customHeight="1">
      <x:c r="A22" s="163" t="str">
        <x:v>Препарат</x:v>
      </x:c>
      <x:c r="B22" s="163" t="str">
        <x:v>Рабочий, µM</x:v>
      </x:c>
      <x:c r="C22" s="163" t="str">
        <x:v>Нужно с запасом, µL</x:v>
      </x:c>
      <x:c r="D22" s="163" t="str">
        <x:v>Приготовить, µL</x:v>
      </x:c>
      <x:c r="E22" s="163" t="str">
        <x:v>Взять стока, µL</x:v>
      </x:c>
      <x:c r="F22" s="163" t="str">
        <x:v>Добавить среды, µL</x:v>
      </x:c>
      <x:c r="G22" s="163" t="str">
        <x:v>Примечание</x:v>
      </x:c>
    </x:row>
    <x:row r="23">
      <x:c r="A23" s="30" t="str">
        <x:v>BzATP</x:v>
      </x:c>
      <x:c r="B23" s="63" t="n">
        <x:f>$F$5</x:f>
        <x:v>5000</x:v>
      </x:c>
      <x:c r="C23" s="169" t="n">
        <x:f>(SUMIF('Расчёты'!$E$4:$E$35,A23,'Расчёты'!$H$4:$H$35)+SUMIF('Расчёты'!$I$4:$I$35,A23,'Расчёты'!$L$4:$L$35))*$B$7*$B$6*(1+$B$8)</x:f>
        <x:v>394.7673856844537</x:v>
      </x:c>
      <x:c r="D23" s="169" t="n">
        <x:f>MAX(100,ROUNDUP(C23/50,0)*50)</x:f>
        <x:v>400</x:v>
      </x:c>
      <x:c r="E23" s="169" t="n">
        <x:f>B23*D23/$E$5</x:f>
        <x:v>40</x:v>
      </x:c>
      <x:c r="F23" s="169" t="n">
        <x:f>D23-E23</x:f>
        <x:v>360</x:v>
      </x:c>
      <x:c r="G23" s="171" t="str">
        <x:f>IF(E23&lt;0.5,"Нужен промежуточный раствор",IF(E23&lt;1,"Лучше промежуточный","Можно готовить напрямую"))</x:f>
        <x:v>Можно готовить напрямую</x:v>
      </x:c>
    </x:row>
    <x:row r="24">
      <x:c r="A24" s="30" t="str">
        <x:v>Cabozantinib</x:v>
      </x:c>
      <x:c r="B24" s="63" t="n">
        <x:f>$F$6</x:f>
        <x:v>200</x:v>
      </x:c>
      <x:c r="C24" s="169" t="n">
        <x:f>(SUMIF('Расчёты'!$E$4:$E$35,A24,'Расчёты'!$H$4:$H$35)+SUMIF('Расчёты'!$I$4:$I$35,A24,'Расчёты'!$L$4:$L$35))*$B$7*$B$6*(1+$B$8)</x:f>
        <x:v>300.2823096356532</x:v>
      </x:c>
      <x:c r="D24" s="169" t="n">
        <x:f>MAX(100,ROUNDUP(C24/50,0)*50)</x:f>
        <x:v>350</x:v>
      </x:c>
      <x:c r="E24" s="169" t="n">
        <x:f>B24*D24/$E$6</x:f>
        <x:v>3.5</x:v>
      </x:c>
      <x:c r="F24" s="169" t="n">
        <x:f>D24-E24</x:f>
        <x:v>346.5</x:v>
      </x:c>
      <x:c r="G24" s="171" t="str">
        <x:f>IF(E24&lt;0.5,"Нужен промежуточный раствор",IF(E24&lt;1,"Лучше промежуточный","Можно готовить напрямую"))</x:f>
        <x:v>Можно готовить напрямую</x:v>
      </x:c>
    </x:row>
    <x:row r="25">
      <x:c r="A25" s="30" t="str">
        <x:v>Axitinib</x:v>
      </x:c>
      <x:c r="B25" s="63" t="n">
        <x:f>$F$7</x:f>
        <x:v>50</x:v>
      </x:c>
      <x:c r="C25" s="169" t="n">
        <x:f>(SUMIF('Расчёты'!$E$4:$E$35,A25,'Расчёты'!$H$4:$H$35)+SUMIF('Расчёты'!$I$4:$I$35,A25,'Расчёты'!$L$4:$L$35))*$B$7*$B$6*(1+$B$8)</x:f>
        <x:v>300.2823096356532</x:v>
      </x:c>
      <x:c r="D25" s="169" t="n">
        <x:f>MAX(100,ROUNDUP(C25/50,0)*50)</x:f>
        <x:v>350</x:v>
      </x:c>
      <x:c r="E25" s="169" t="n">
        <x:f>B25*D25/$E$7</x:f>
        <x:v>0.875</x:v>
      </x:c>
      <x:c r="F25" s="169" t="n">
        <x:f>D25-E25</x:f>
        <x:v>349.125</x:v>
      </x:c>
      <x:c r="G25" s="171" t="str">
        <x:f>IF(E25&lt;0.5,"Нужен промежуточный раствор",IF(E25&lt;1,"Лучше промежуточный","Можно готовить напрямую"))</x:f>
        <x:v>Лучше промежуточный</x:v>
      </x:c>
    </x:row>
    <x:row r="26">
      <x:c r="A26" s="30" t="str">
        <x:v>HEI3090</x:v>
      </x:c>
      <x:c r="B26" s="63" t="n">
        <x:f>$F$8</x:f>
        <x:v>10</x:v>
      </x:c>
      <x:c r="C26" s="169" t="n">
        <x:f>(SUMIF('Расчёты'!$E$4:$E$35,A26,'Расчёты'!$H$4:$H$35)+SUMIF('Расчёты'!$I$4:$I$35,A26,'Расчёты'!$L$4:$L$35))*$B$7*$B$6*(1+$B$8)</x:f>
        <x:v>35.32814901793767</x:v>
      </x:c>
      <x:c r="D26" s="169" t="n">
        <x:f>MAX(100,ROUNDUP(C26/50,0)*50)</x:f>
        <x:v>100</x:v>
      </x:c>
      <x:c r="E26" s="169" t="n">
        <x:f>B26*D26/$E$8</x:f>
        <x:v>0.05</x:v>
      </x:c>
      <x:c r="F26" s="169" t="n">
        <x:f>D26-E26</x:f>
        <x:v>99.95</x:v>
      </x:c>
      <x:c r="G26" s="171" t="str">
        <x:f>IF(E26&lt;0.5,"Нужен промежуточный раствор",IF(E26&lt;1,"Лучше промежуточный","Можно готовить напрямую"))</x:f>
        <x:v>Нужен промежуточный раствор</x:v>
      </x:c>
    </x:row>
    <x:row r="28" ht="36" customHeight="1">
      <x:c r="A28" s="176" t="str">
        <x:v>В таблице уже учтены: 3 повтора каждого условия, 2 плашки и 15% запас. Колонка «Приготовить» округляет объём вверх до ближайших 50 µL и минимум до 100 µL.</x:v>
      </x:c>
      <x:c r="B28" s="176"/>
      <x:c r="C28" s="176"/>
      <x:c r="D28" s="176"/>
      <x:c r="E28" s="176"/>
      <x:c r="F28" s="176"/>
      <x:c r="G28" s="176"/>
    </x:row>
  </x:sheetData>
  <x:mergeCells>
    <x:mergeCell ref="A1:G1"/>
    <x:mergeCell ref="A2:G2"/>
    <x:mergeCell ref="A4:B4"/>
    <x:mergeCell ref="A21:G21"/>
    <x:mergeCell ref="A28:G28"/>
  </x:mergeCells>
  <x:conditionalFormatting sqref="G23:G26">
    <x:cfRule type="expression" dxfId="0" priority="1">
      <x:formula>OR(G23="Нужен промежуточный раствор",G23="Лучше промежуточный")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8" hidden="0" customWidth="1"/>
    <x:col min="4" max="4" width="36" hidden="0" customWidth="1"/>
    <x:col min="5" max="5" width="18" hidden="0" customWidth="1"/>
    <x:col min="6" max="6" width="14" hidden="0" customWidth="1"/>
    <x:col min="7" max="7" width="16" hidden="0" customWidth="1"/>
    <x:col min="8" max="8" width="16" hidden="0" customWidth="1"/>
    <x:col min="9" max="9" width="18" hidden="0" customWidth="1"/>
    <x:col min="10" max="10" width="14" hidden="0" customWidth="1"/>
    <x:col min="11" max="11" width="16" hidden="0" customWidth="1"/>
    <x:col min="12" max="12" width="16" hidden="0" customWidth="1"/>
  </x:cols>
  <x:sheetData>
    <x:row r="1">
      <x:c r="A1" s="49" t="str">
        <x:v>Технические расчёты — можно менять жёлтые конечные концентрации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</x:row>
    <x:row r="3" ht="38" customHeight="1">
      <x:c r="A3" s="57" t="str">
        <x:v>ID</x:v>
      </x:c>
      <x:c r="B3" s="57" t="str">
        <x:v>Ряд</x:v>
      </x:c>
      <x:c r="C3" s="57" t="str">
        <x:v>Блок</x:v>
      </x:c>
      <x:c r="D3" s="57" t="str">
        <x:v>Название</x:v>
      </x:c>
      <x:c r="E3" s="57" t="str">
        <x:v>Препарат 1</x:v>
      </x:c>
      <x:c r="F3" s="57" t="str">
        <x:v>Финал 1, µM</x:v>
      </x:c>
      <x:c r="G3" s="57" t="str">
        <x:v>Рабочий 1, µM</x:v>
      </x:c>
      <x:c r="H3" s="57" t="str">
        <x:v>Добавить 1, µL</x:v>
      </x:c>
      <x:c r="I3" s="57" t="str">
        <x:v>Препарат 2</x:v>
      </x:c>
      <x:c r="J3" s="57" t="str">
        <x:v>Финал 2, µM</x:v>
      </x:c>
      <x:c r="K3" s="57" t="str">
        <x:v>Рабочий 2, µM</x:v>
      </x:c>
      <x:c r="L3" s="57" t="str">
        <x:v>Добавить 2, µL</x:v>
      </x:c>
    </x:row>
    <x:row r="4">
      <x:c r="A4" s="30" t="n">
        <x:v>1</x:v>
      </x:c>
      <x:c r="B4" s="30" t="str">
        <x:v>A</x:v>
      </x:c>
      <x:c r="C4" s="30" t="n">
        <x:v>1</x:v>
      </x:c>
      <x:c r="D4" s="30" t="str">
        <x:v>Medium</x:v>
      </x:c>
      <x:c r="E4" s="30" t="str"/>
      <x:c r="F4" s="31" t="n">
        <x:v>0</x:v>
      </x:c>
      <x:c r="G4" s="63" t="str">
        <x:f>IF(E4="","",IF(E4="BzATP",'Планшет'!$F$5,IF(E4="Cabozantinib",'Планшет'!$F$6,IF(E4="Axitinib",'Планшет'!$F$7,IF(E4="HEI3090",'Планшет'!$F$8,"")))))</x:f>
      </x:c>
      <x:c r="H4" s="63" t="str">
        <x:f>IF(E4="","",IFERROR((F4/G4)*'Планшет'!$B$5/(1-F4/G4-IF(I4="",0,J4/K4)),0))</x:f>
      </x:c>
      <x:c r="I4" s="63" t="str"/>
      <x:c r="J4" s="31" t="n">
        <x:v>0</x:v>
      </x:c>
      <x:c r="K4" s="63" t="str">
        <x:f>IF(I4="","",IF(I4="BzATP",'Планшет'!$F$5,IF(I4="Cabozantinib",'Планшет'!$F$6,IF(I4="Axitinib",'Планшет'!$F$7,IF(I4="HEI3090",'Планшет'!$F$8,"")))))</x:f>
      </x:c>
      <x:c r="L4" s="63" t="n">
        <x:f>IF(I4="",0,IFERROR((J4/K4)*'Планшет'!$B$5/(1-F4/G4-J4/K4),0))</x:f>
        <x:v>0</x:v>
      </x:c>
    </x:row>
    <x:row r="5">
      <x:c r="A5" s="30" t="n">
        <x:v>2</x:v>
      </x:c>
      <x:c r="B5" s="30" t="str">
        <x:v>B</x:v>
      </x:c>
      <x:c r="C5" s="30" t="n">
        <x:v>1</x:v>
      </x:c>
      <x:c r="D5" s="30" t="str">
        <x:v>Cabozantinib 4 µM</x:v>
      </x:c>
      <x:c r="E5" s="30" t="str">
        <x:v>Cabozantinib</x:v>
      </x:c>
      <x:c r="F5" s="31" t="n">
        <x:v>4</x:v>
      </x:c>
      <x:c r="G5" s="63" t="n">
        <x:f>IF(E5="","",IF(E5="BzATP",'Планшет'!$F$5,IF(E5="Cabozantinib",'Планшет'!$F$6,IF(E5="Axitinib",'Планшет'!$F$7,IF(E5="HEI3090",'Планшет'!$F$8,"")))))</x:f>
        <x:v>200</x:v>
      </x:c>
      <x:c r="H5" s="63" t="n">
        <x:f>IF(E5="","",IFERROR((F5/G5)*'Планшет'!$B$5/(1-F5/G5-IF(I5="",0,J5/K5)),0))</x:f>
        <x:v>2.0408163265306123</x:v>
      </x:c>
      <x:c r="I5" s="63" t="str"/>
      <x:c r="J5" s="31" t="n">
        <x:v>0</x:v>
      </x:c>
      <x:c r="K5" s="63" t="str">
        <x:f>IF(I5="","",IF(I5="BzATP",'Планшет'!$F$5,IF(I5="Cabozantinib",'Планшет'!$F$6,IF(I5="Axitinib",'Планшет'!$F$7,IF(I5="HEI3090",'Планшет'!$F$8,"")))))</x:f>
      </x:c>
      <x:c r="L5" s="63" t="n">
        <x:f>IF(I5="",0,IFERROR((J5/K5)*'Планшет'!$B$5/(1-F5/G5-J5/K5),0))</x:f>
        <x:v>0</x:v>
      </x:c>
    </x:row>
    <x:row r="6">
      <x:c r="A6" s="30" t="n">
        <x:v>3</x:v>
      </x:c>
      <x:c r="B6" s="30" t="str">
        <x:v>C</x:v>
      </x:c>
      <x:c r="C6" s="30" t="n">
        <x:v>1</x:v>
      </x:c>
      <x:c r="D6" s="30" t="str">
        <x:v>Cabozantinib 4 µM + BzATP 200 µM</x:v>
      </x:c>
      <x:c r="E6" s="30" t="str">
        <x:v>Cabozantinib</x:v>
      </x:c>
      <x:c r="F6" s="31" t="n">
        <x:v>4</x:v>
      </x:c>
      <x:c r="G6" s="63" t="n">
        <x:f>IF(E6="","",IF(E6="BzATP",'Планшет'!$F$5,IF(E6="Cabozantinib",'Планшет'!$F$6,IF(E6="Axitinib",'Планшет'!$F$7,IF(E6="HEI3090",'Планшет'!$F$8,"")))))</x:f>
        <x:v>200</x:v>
      </x:c>
      <x:c r="H6" s="63" t="n">
        <x:f>IF(E6="","",IFERROR((F6/G6)*'Планшет'!$B$5/(1-F6/G6-IF(I6="",0,J6/K6)),0))</x:f>
        <x:v>2.127659574468085</x:v>
      </x:c>
      <x:c r="I6" s="63" t="str">
        <x:v>BzATP</x:v>
      </x:c>
      <x:c r="J6" s="31" t="n">
        <x:v>200</x:v>
      </x:c>
      <x:c r="K6" s="63" t="n">
        <x:f>IF(I6="","",IF(I6="BzATP",'Планшет'!$F$5,IF(I6="Cabozantinib",'Планшет'!$F$6,IF(I6="Axitinib",'Планшет'!$F$7,IF(I6="HEI3090",'Планшет'!$F$8,"")))))</x:f>
        <x:v>5000</x:v>
      </x:c>
      <x:c r="L6" s="63" t="n">
        <x:f>IF(I6="",0,IFERROR((J6/K6)*'Планшет'!$B$5/(1-F6/G6-J6/K6),0))</x:f>
        <x:v>4.25531914893617</x:v>
      </x:c>
    </x:row>
    <x:row r="7">
      <x:c r="A7" s="30" t="n">
        <x:v>4</x:v>
      </x:c>
      <x:c r="B7" s="30" t="str">
        <x:v>D</x:v>
      </x:c>
      <x:c r="C7" s="30" t="n">
        <x:v>1</x:v>
      </x:c>
      <x:c r="D7" s="30" t="str">
        <x:v>Axitinib 1 µM</x:v>
      </x:c>
      <x:c r="E7" s="30" t="str">
        <x:v>Axitinib</x:v>
      </x:c>
      <x:c r="F7" s="31" t="n">
        <x:v>1</x:v>
      </x:c>
      <x:c r="G7" s="63" t="n">
        <x:f>IF(E7="","",IF(E7="BzATP",'Планшет'!$F$5,IF(E7="Cabozantinib",'Планшет'!$F$6,IF(E7="Axitinib",'Планшет'!$F$7,IF(E7="HEI3090",'Планшет'!$F$8,"")))))</x:f>
        <x:v>50</x:v>
      </x:c>
      <x:c r="H7" s="63" t="n">
        <x:f>IF(E7="","",IFERROR((F7/G7)*'Планшет'!$B$5/(1-F7/G7-IF(I7="",0,J7/K7)),0))</x:f>
        <x:v>2.0408163265306123</x:v>
      </x:c>
      <x:c r="I7" s="63" t="str"/>
      <x:c r="J7" s="31" t="n">
        <x:v>0</x:v>
      </x:c>
      <x:c r="K7" s="63" t="str">
        <x:f>IF(I7="","",IF(I7="BzATP",'Планшет'!$F$5,IF(I7="Cabozantinib",'Планшет'!$F$6,IF(I7="Axitinib",'Планшет'!$F$7,IF(I7="HEI3090",'Планшет'!$F$8,"")))))</x:f>
      </x:c>
      <x:c r="L7" s="63" t="n">
        <x:f>IF(I7="",0,IFERROR((J7/K7)*'Планшет'!$B$5/(1-F7/G7-J7/K7),0))</x:f>
        <x:v>0</x:v>
      </x:c>
    </x:row>
    <x:row r="8">
      <x:c r="A8" s="30" t="n">
        <x:v>5</x:v>
      </x:c>
      <x:c r="B8" s="30" t="str">
        <x:v>E</x:v>
      </x:c>
      <x:c r="C8" s="30" t="n">
        <x:v>1</x:v>
      </x:c>
      <x:c r="D8" s="30" t="str">
        <x:v>Axitinib 1 µM + BzATP 200 µM</x:v>
      </x:c>
      <x:c r="E8" s="30" t="str">
        <x:v>Axitinib</x:v>
      </x:c>
      <x:c r="F8" s="31" t="n">
        <x:v>1</x:v>
      </x:c>
      <x:c r="G8" s="63" t="n">
        <x:f>IF(E8="","",IF(E8="BzATP",'Планшет'!$F$5,IF(E8="Cabozantinib",'Планшет'!$F$6,IF(E8="Axitinib",'Планшет'!$F$7,IF(E8="HEI3090",'Планшет'!$F$8,"")))))</x:f>
        <x:v>50</x:v>
      </x:c>
      <x:c r="H8" s="63" t="n">
        <x:f>IF(E8="","",IFERROR((F8/G8)*'Планшет'!$B$5/(1-F8/G8-IF(I8="",0,J8/K8)),0))</x:f>
        <x:v>2.127659574468085</x:v>
      </x:c>
      <x:c r="I8" s="63" t="str">
        <x:v>BzATP</x:v>
      </x:c>
      <x:c r="J8" s="31" t="n">
        <x:v>200</x:v>
      </x:c>
      <x:c r="K8" s="63" t="n">
        <x:f>IF(I8="","",IF(I8="BzATP",'Планшет'!$F$5,IF(I8="Cabozantinib",'Планшет'!$F$6,IF(I8="Axitinib",'Планшет'!$F$7,IF(I8="HEI3090",'Планшет'!$F$8,"")))))</x:f>
        <x:v>5000</x:v>
      </x:c>
      <x:c r="L8" s="63" t="n">
        <x:f>IF(I8="",0,IFERROR((J8/K8)*'Планшет'!$B$5/(1-F8/G8-J8/K8),0))</x:f>
        <x:v>4.25531914893617</x:v>
      </x:c>
    </x:row>
    <x:row r="9">
      <x:c r="A9" s="30" t="n">
        <x:v>6</x:v>
      </x:c>
      <x:c r="B9" s="30" t="str">
        <x:v>F</x:v>
      </x:c>
      <x:c r="C9" s="30" t="n">
        <x:v>1</x:v>
      </x:c>
      <x:c r="D9" s="30" t="str">
        <x:v>HEI3090 100 nM</x:v>
      </x:c>
      <x:c r="E9" s="30" t="str">
        <x:v>HEI3090</x:v>
      </x:c>
      <x:c r="F9" s="31" t="n">
        <x:v>0.1</x:v>
      </x:c>
      <x:c r="G9" s="63" t="n">
        <x:f>IF(E9="","",IF(E9="BzATP",'Планшет'!$F$5,IF(E9="Cabozantinib",'Планшет'!$F$6,IF(E9="Axitinib",'Планшет'!$F$7,IF(E9="HEI3090",'Планшет'!$F$8,"")))))</x:f>
        <x:v>10</x:v>
      </x:c>
      <x:c r="H9" s="63" t="n">
        <x:f>IF(E9="","",IFERROR((F9/G9)*'Планшет'!$B$5/(1-F9/G9-IF(I9="",0,J9/K9)),0))</x:f>
        <x:v>1.0101010101010102</x:v>
      </x:c>
      <x:c r="I9" s="63" t="str"/>
      <x:c r="J9" s="31" t="n">
        <x:v>0</x:v>
      </x:c>
      <x:c r="K9" s="63" t="str">
        <x:f>IF(I9="","",IF(I9="BzATP",'Планшет'!$F$5,IF(I9="Cabozantinib",'Планшет'!$F$6,IF(I9="Axitinib",'Планшет'!$F$7,IF(I9="HEI3090",'Планшет'!$F$8,"")))))</x:f>
      </x:c>
      <x:c r="L9" s="63" t="n">
        <x:f>IF(I9="",0,IFERROR((J9/K9)*'Планшет'!$B$5/(1-F9/G9-J9/K9),0))</x:f>
        <x:v>0</x:v>
      </x:c>
    </x:row>
    <x:row r="10">
      <x:c r="A10" s="30" t="n">
        <x:v>7</x:v>
      </x:c>
      <x:c r="B10" s="30" t="str">
        <x:v>G</x:v>
      </x:c>
      <x:c r="C10" s="30" t="n">
        <x:v>1</x:v>
      </x:c>
      <x:c r="D10" s="30" t="str">
        <x:v>HEI3090 100 nM</x:v>
      </x:c>
      <x:c r="E10" s="30" t="str">
        <x:v>HEI3090</x:v>
      </x:c>
      <x:c r="F10" s="31" t="n">
        <x:v>0.1</x:v>
      </x:c>
      <x:c r="G10" s="63" t="n">
        <x:f>IF(E10="","",IF(E10="BzATP",'Планшет'!$F$5,IF(E10="Cabozantinib",'Планшет'!$F$6,IF(E10="Axitinib",'Планшет'!$F$7,IF(E10="HEI3090",'Планшет'!$F$8,"")))))</x:f>
        <x:v>10</x:v>
      </x:c>
      <x:c r="H10" s="63" t="n">
        <x:f>IF(E10="","",IFERROR((F10/G10)*'Планшет'!$B$5/(1-F10/G10-IF(I10="",0,J10/K10)),0))</x:f>
        <x:v>1.0101010101010102</x:v>
      </x:c>
      <x:c r="I10" s="63" t="str"/>
      <x:c r="J10" s="31" t="n">
        <x:v>0</x:v>
      </x:c>
      <x:c r="K10" s="63" t="str">
        <x:f>IF(I10="","",IF(I10="BzATP",'Планшет'!$F$5,IF(I10="Cabozantinib",'Планшет'!$F$6,IF(I10="Axitinib",'Планшет'!$F$7,IF(I10="HEI3090",'Планшет'!$F$8,"")))))</x:f>
      </x:c>
      <x:c r="L10" s="63" t="n">
        <x:f>IF(I10="",0,IFERROR((J10/K10)*'Планшет'!$B$5/(1-F10/G10-J10/K10),0))</x:f>
        <x:v>0</x:v>
      </x:c>
    </x:row>
    <x:row r="11">
      <x:c r="A11" s="30" t="n">
        <x:v>8</x:v>
      </x:c>
      <x:c r="B11" s="30" t="str">
        <x:v>H</x:v>
      </x:c>
      <x:c r="C11" s="30" t="n">
        <x:v>1</x:v>
      </x:c>
      <x:c r="D11" s="30" t="str">
        <x:v>Medium</x:v>
      </x:c>
      <x:c r="E11" s="30" t="str"/>
      <x:c r="F11" s="31" t="n">
        <x:v>0</x:v>
      </x:c>
      <x:c r="G11" s="63" t="str">
        <x:f>IF(E11="","",IF(E11="BzATP",'Планшет'!$F$5,IF(E11="Cabozantinib",'Планшет'!$F$6,IF(E11="Axitinib",'Планшет'!$F$7,IF(E11="HEI3090",'Планшет'!$F$8,"")))))</x:f>
      </x:c>
      <x:c r="H11" s="63" t="str">
        <x:f>IF(E11="","",IFERROR((F11/G11)*'Планшет'!$B$5/(1-F11/G11-IF(I11="",0,J11/K11)),0))</x:f>
      </x:c>
      <x:c r="I11" s="63" t="str"/>
      <x:c r="J11" s="31" t="n">
        <x:v>0</x:v>
      </x:c>
      <x:c r="K11" s="63" t="str">
        <x:f>IF(I11="","",IF(I11="BzATP",'Планшет'!$F$5,IF(I11="Cabozantinib",'Планшет'!$F$6,IF(I11="Axitinib",'Планшет'!$F$7,IF(I11="HEI3090",'Планшет'!$F$8,"")))))</x:f>
      </x:c>
      <x:c r="L11" s="63" t="n">
        <x:f>IF(I11="",0,IFERROR((J11/K11)*'Планшет'!$B$5/(1-F11/G11-J11/K11),0))</x:f>
        <x:v>0</x:v>
      </x:c>
    </x:row>
    <x:row r="12">
      <x:c r="A12" s="30" t="n">
        <x:v>9</x:v>
      </x:c>
      <x:c r="B12" s="30" t="str">
        <x:v>A</x:v>
      </x:c>
      <x:c r="C12" s="30" t="n">
        <x:v>2</x:v>
      </x:c>
      <x:c r="D12" s="30" t="str">
        <x:v>Medium</x:v>
      </x:c>
      <x:c r="E12" s="30" t="str"/>
      <x:c r="F12" s="31" t="n">
        <x:v>0</x:v>
      </x:c>
      <x:c r="G12" s="63" t="str">
        <x:f>IF(E12="","",IF(E12="BzATP",'Планшет'!$F$5,IF(E12="Cabozantinib",'Планшет'!$F$6,IF(E12="Axitinib",'Планшет'!$F$7,IF(E12="HEI3090",'Планшет'!$F$8,"")))))</x:f>
      </x:c>
      <x:c r="H12" s="63" t="str">
        <x:f>IF(E12="","",IFERROR((F12/G12)*'Планшет'!$B$5/(1-F12/G12-IF(I12="",0,J12/K12)),0))</x:f>
      </x:c>
      <x:c r="I12" s="63" t="str"/>
      <x:c r="J12" s="31" t="n">
        <x:v>0</x:v>
      </x:c>
      <x:c r="K12" s="63" t="str">
        <x:f>IF(I12="","",IF(I12="BzATP",'Планшет'!$F$5,IF(I12="Cabozantinib",'Планшет'!$F$6,IF(I12="Axitinib",'Планшет'!$F$7,IF(I12="HEI3090",'Планшет'!$F$8,"")))))</x:f>
      </x:c>
      <x:c r="L12" s="63" t="n">
        <x:f>IF(I12="",0,IFERROR((J12/K12)*'Планшет'!$B$5/(1-F12/G12-J12/K12),0))</x:f>
        <x:v>0</x:v>
      </x:c>
    </x:row>
    <x:row r="13">
      <x:c r="A13" s="30" t="n">
        <x:v>10</x:v>
      </x:c>
      <x:c r="B13" s="30" t="str">
        <x:v>B</x:v>
      </x:c>
      <x:c r="C13" s="30" t="n">
        <x:v>2</x:v>
      </x:c>
      <x:c r="D13" s="30" t="str">
        <x:v>Cabozantinib 8 µM</x:v>
      </x:c>
      <x:c r="E13" s="30" t="str">
        <x:v>Cabozantinib</x:v>
      </x:c>
      <x:c r="F13" s="31" t="n">
        <x:v>8</x:v>
      </x:c>
      <x:c r="G13" s="63" t="n">
        <x:f>IF(E13="","",IF(E13="BzATP",'Планшет'!$F$5,IF(E13="Cabozantinib",'Планшет'!$F$6,IF(E13="Axitinib",'Планшет'!$F$7,IF(E13="HEI3090",'Планшет'!$F$8,"")))))</x:f>
        <x:v>200</x:v>
      </x:c>
      <x:c r="H13" s="63" t="n">
        <x:f>IF(E13="","",IFERROR((F13/G13)*'Планшет'!$B$5/(1-F13/G13-IF(I13="",0,J13/K13)),0))</x:f>
        <x:v>4.166666666666667</x:v>
      </x:c>
      <x:c r="I13" s="63" t="str"/>
      <x:c r="J13" s="31" t="n">
        <x:v>0</x:v>
      </x:c>
      <x:c r="K13" s="63" t="str">
        <x:f>IF(I13="","",IF(I13="BzATP",'Планшет'!$F$5,IF(I13="Cabozantinib",'Планшет'!$F$6,IF(I13="Axitinib",'Планшет'!$F$7,IF(I13="HEI3090",'Планшет'!$F$8,"")))))</x:f>
      </x:c>
      <x:c r="L13" s="63" t="n">
        <x:f>IF(I13="",0,IFERROR((J13/K13)*'Планшет'!$B$5/(1-F13/G13-J13/K13),0))</x:f>
        <x:v>0</x:v>
      </x:c>
    </x:row>
    <x:row r="14">
      <x:c r="A14" s="30" t="n">
        <x:v>11</x:v>
      </x:c>
      <x:c r="B14" s="30" t="str">
        <x:v>C</x:v>
      </x:c>
      <x:c r="C14" s="30" t="n">
        <x:v>2</x:v>
      </x:c>
      <x:c r="D14" s="30" t="str">
        <x:v>Cabozantinib 8 µM + BzATP 200 µM</x:v>
      </x:c>
      <x:c r="E14" s="30" t="str">
        <x:v>Cabozantinib</x:v>
      </x:c>
      <x:c r="F14" s="31" t="n">
        <x:v>8</x:v>
      </x:c>
      <x:c r="G14" s="63" t="n">
        <x:f>IF(E14="","",IF(E14="BzATP",'Планшет'!$F$5,IF(E14="Cabozantinib",'Планшет'!$F$6,IF(E14="Axitinib",'Планшет'!$F$7,IF(E14="HEI3090",'Планшет'!$F$8,"")))))</x:f>
        <x:v>200</x:v>
      </x:c>
      <x:c r="H14" s="63" t="n">
        <x:f>IF(E14="","",IFERROR((F14/G14)*'Планшет'!$B$5/(1-F14/G14-IF(I14="",0,J14/K14)),0))</x:f>
        <x:v>4.347826086956522</x:v>
      </x:c>
      <x:c r="I14" s="63" t="str">
        <x:v>BzATP</x:v>
      </x:c>
      <x:c r="J14" s="31" t="n">
        <x:v>200</x:v>
      </x:c>
      <x:c r="K14" s="63" t="n">
        <x:f>IF(I14="","",IF(I14="BzATP",'Планшет'!$F$5,IF(I14="Cabozantinib",'Планшет'!$F$6,IF(I14="Axitinib",'Планшет'!$F$7,IF(I14="HEI3090",'Планшет'!$F$8,"")))))</x:f>
        <x:v>5000</x:v>
      </x:c>
      <x:c r="L14" s="63" t="n">
        <x:f>IF(I14="",0,IFERROR((J14/K14)*'Планшет'!$B$5/(1-F14/G14-J14/K14),0))</x:f>
        <x:v>4.347826086956522</x:v>
      </x:c>
    </x:row>
    <x:row r="15">
      <x:c r="A15" s="30" t="n">
        <x:v>12</x:v>
      </x:c>
      <x:c r="B15" s="30" t="str">
        <x:v>D</x:v>
      </x:c>
      <x:c r="C15" s="30" t="n">
        <x:v>2</x:v>
      </x:c>
      <x:c r="D15" s="30" t="str">
        <x:v>Axitinib 2 µM</x:v>
      </x:c>
      <x:c r="E15" s="30" t="str">
        <x:v>Axitinib</x:v>
      </x:c>
      <x:c r="F15" s="31" t="n">
        <x:v>2</x:v>
      </x:c>
      <x:c r="G15" s="63" t="n">
        <x:f>IF(E15="","",IF(E15="BzATP",'Планшет'!$F$5,IF(E15="Cabozantinib",'Планшет'!$F$6,IF(E15="Axitinib",'Планшет'!$F$7,IF(E15="HEI3090",'Планшет'!$F$8,"")))))</x:f>
        <x:v>50</x:v>
      </x:c>
      <x:c r="H15" s="63" t="n">
        <x:f>IF(E15="","",IFERROR((F15/G15)*'Планшет'!$B$5/(1-F15/G15-IF(I15="",0,J15/K15)),0))</x:f>
        <x:v>4.166666666666667</x:v>
      </x:c>
      <x:c r="I15" s="63" t="str"/>
      <x:c r="J15" s="31" t="n">
        <x:v>0</x:v>
      </x:c>
      <x:c r="K15" s="63" t="str">
        <x:f>IF(I15="","",IF(I15="BzATP",'Планшет'!$F$5,IF(I15="Cabozantinib",'Планшет'!$F$6,IF(I15="Axitinib",'Планшет'!$F$7,IF(I15="HEI3090",'Планшет'!$F$8,"")))))</x:f>
      </x:c>
      <x:c r="L15" s="63" t="n">
        <x:f>IF(I15="",0,IFERROR((J15/K15)*'Планшет'!$B$5/(1-F15/G15-J15/K15),0))</x:f>
        <x:v>0</x:v>
      </x:c>
    </x:row>
    <x:row r="16">
      <x:c r="A16" s="30" t="n">
        <x:v>13</x:v>
      </x:c>
      <x:c r="B16" s="30" t="str">
        <x:v>E</x:v>
      </x:c>
      <x:c r="C16" s="30" t="n">
        <x:v>2</x:v>
      </x:c>
      <x:c r="D16" s="30" t="str">
        <x:v>Axitinib 2 µM + BzATP 200 µM</x:v>
      </x:c>
      <x:c r="E16" s="30" t="str">
        <x:v>Axitinib</x:v>
      </x:c>
      <x:c r="F16" s="31" t="n">
        <x:v>2</x:v>
      </x:c>
      <x:c r="G16" s="63" t="n">
        <x:f>IF(E16="","",IF(E16="BzATP",'Планшет'!$F$5,IF(E16="Cabozantinib",'Планшет'!$F$6,IF(E16="Axitinib",'Планшет'!$F$7,IF(E16="HEI3090",'Планшет'!$F$8,"")))))</x:f>
        <x:v>50</x:v>
      </x:c>
      <x:c r="H16" s="63" t="n">
        <x:f>IF(E16="","",IFERROR((F16/G16)*'Планшет'!$B$5/(1-F16/G16-IF(I16="",0,J16/K16)),0))</x:f>
        <x:v>4.347826086956522</x:v>
      </x:c>
      <x:c r="I16" s="63" t="str">
        <x:v>BzATP</x:v>
      </x:c>
      <x:c r="J16" s="31" t="n">
        <x:v>200</x:v>
      </x:c>
      <x:c r="K16" s="63" t="n">
        <x:f>IF(I16="","",IF(I16="BzATP",'Планшет'!$F$5,IF(I16="Cabozantinib",'Планшет'!$F$6,IF(I16="Axitinib",'Планшет'!$F$7,IF(I16="HEI3090",'Планшет'!$F$8,"")))))</x:f>
        <x:v>5000</x:v>
      </x:c>
      <x:c r="L16" s="63" t="n">
        <x:f>IF(I16="",0,IFERROR((J16/K16)*'Планшет'!$B$5/(1-F16/G16-J16/K16),0))</x:f>
        <x:v>4.347826086956522</x:v>
      </x:c>
    </x:row>
    <x:row r="17">
      <x:c r="A17" s="30" t="n">
        <x:v>14</x:v>
      </x:c>
      <x:c r="B17" s="30" t="str">
        <x:v>F</x:v>
      </x:c>
      <x:c r="C17" s="30" t="n">
        <x:v>2</x:v>
      </x:c>
      <x:c r="D17" s="30" t="str">
        <x:v>BzATP 30 µM</x:v>
      </x:c>
      <x:c r="E17" s="30" t="str">
        <x:v>BzATP</x:v>
      </x:c>
      <x:c r="F17" s="31" t="n">
        <x:v>30</x:v>
      </x:c>
      <x:c r="G17" s="63" t="n">
        <x:f>IF(E17="","",IF(E17="BzATP",'Планшет'!$F$5,IF(E17="Cabozantinib",'Планшет'!$F$6,IF(E17="Axitinib",'Планшет'!$F$7,IF(E17="HEI3090",'Планшет'!$F$8,"")))))</x:f>
        <x:v>5000</x:v>
      </x:c>
      <x:c r="H17" s="63" t="n">
        <x:f>IF(E17="","",IFERROR((F17/G17)*'Планшет'!$B$5/(1-F17/G17-IF(I17="",0,J17/K17)),0))</x:f>
        <x:v>0.6036217303822937</x:v>
      </x:c>
      <x:c r="I17" s="63" t="str"/>
      <x:c r="J17" s="31" t="n">
        <x:v>0</x:v>
      </x:c>
      <x:c r="K17" s="63" t="str">
        <x:f>IF(I17="","",IF(I17="BzATP",'Планшет'!$F$5,IF(I17="Cabozantinib",'Планшет'!$F$6,IF(I17="Axitinib",'Планшет'!$F$7,IF(I17="HEI3090",'Планшет'!$F$8,"")))))</x:f>
      </x:c>
      <x:c r="L17" s="63" t="n">
        <x:f>IF(I17="",0,IFERROR((J17/K17)*'Планшет'!$B$5/(1-F17/G17-J17/K17),0))</x:f>
        <x:v>0</x:v>
      </x:c>
    </x:row>
    <x:row r="18">
      <x:c r="A18" s="30" t="n">
        <x:v>15</x:v>
      </x:c>
      <x:c r="B18" s="30" t="str">
        <x:v>G</x:v>
      </x:c>
      <x:c r="C18" s="30" t="n">
        <x:v>2</x:v>
      </x:c>
      <x:c r="D18" s="30" t="str">
        <x:v>BzATP 30 µM + HEI3090 100 nM</x:v>
      </x:c>
      <x:c r="E18" s="30" t="str">
        <x:v>BzATP</x:v>
      </x:c>
      <x:c r="F18" s="31" t="n">
        <x:v>30</x:v>
      </x:c>
      <x:c r="G18" s="63" t="n">
        <x:f>IF(E18="","",IF(E18="BzATP",'Планшет'!$F$5,IF(E18="Cabozantinib",'Планшет'!$F$6,IF(E18="Axitinib",'Планшет'!$F$7,IF(E18="HEI3090",'Планшет'!$F$8,"")))))</x:f>
        <x:v>5000</x:v>
      </x:c>
      <x:c r="H18" s="63" t="n">
        <x:f>IF(E18="","",IFERROR((F18/G18)*'Планшет'!$B$5/(1-F18/G18-IF(I18="",0,J18/K18)),0))</x:f>
        <x:v>0.6097560975609756</x:v>
      </x:c>
      <x:c r="I18" s="63" t="str">
        <x:v>HEI3090</x:v>
      </x:c>
      <x:c r="J18" s="31" t="n">
        <x:v>0.1</x:v>
      </x:c>
      <x:c r="K18" s="63" t="n">
        <x:f>IF(I18="","",IF(I18="BzATP",'Планшет'!$F$5,IF(I18="Cabozantinib",'Планшет'!$F$6,IF(I18="Axitinib",'Планшет'!$F$7,IF(I18="HEI3090",'Планшет'!$F$8,"")))))</x:f>
        <x:v>10</x:v>
      </x:c>
      <x:c r="L18" s="63" t="n">
        <x:f>IF(I18="",0,IFERROR((J18/K18)*'Планшет'!$B$5/(1-F18/G18-J18/K18),0))</x:f>
        <x:v>1.016260162601626</x:v>
      </x:c>
    </x:row>
    <x:row r="19">
      <x:c r="A19" s="30" t="n">
        <x:v>16</x:v>
      </x:c>
      <x:c r="B19" s="30" t="str">
        <x:v>H</x:v>
      </x:c>
      <x:c r="C19" s="30" t="n">
        <x:v>2</x:v>
      </x:c>
      <x:c r="D19" s="30" t="str">
        <x:v>Medium</x:v>
      </x:c>
      <x:c r="E19" s="30" t="str"/>
      <x:c r="F19" s="31" t="n">
        <x:v>0</x:v>
      </x:c>
      <x:c r="G19" s="63" t="str">
        <x:f>IF(E19="","",IF(E19="BzATP",'Планшет'!$F$5,IF(E19="Cabozantinib",'Планшет'!$F$6,IF(E19="Axitinib",'Планшет'!$F$7,IF(E19="HEI3090",'Планшет'!$F$8,"")))))</x:f>
      </x:c>
      <x:c r="H19" s="63" t="str">
        <x:f>IF(E19="","",IFERROR((F19/G19)*'Планшет'!$B$5/(1-F19/G19-IF(I19="",0,J19/K19)),0))</x:f>
      </x:c>
      <x:c r="I19" s="63" t="str"/>
      <x:c r="J19" s="31" t="n">
        <x:v>0</x:v>
      </x:c>
      <x:c r="K19" s="63" t="str">
        <x:f>IF(I19="","",IF(I19="BzATP",'Планшет'!$F$5,IF(I19="Cabozantinib",'Планшет'!$F$6,IF(I19="Axitinib",'Планшет'!$F$7,IF(I19="HEI3090",'Планшет'!$F$8,"")))))</x:f>
      </x:c>
      <x:c r="L19" s="63" t="n">
        <x:f>IF(I19="",0,IFERROR((J19/K19)*'Планшет'!$B$5/(1-F19/G19-J19/K19),0))</x:f>
        <x:v>0</x:v>
      </x:c>
    </x:row>
    <x:row r="20">
      <x:c r="A20" s="30" t="n">
        <x:v>17</x:v>
      </x:c>
      <x:c r="B20" s="30" t="str">
        <x:v>A</x:v>
      </x:c>
      <x:c r="C20" s="30" t="n">
        <x:v>3</x:v>
      </x:c>
      <x:c r="D20" s="30" t="str">
        <x:v>BzATP 200 µM</x:v>
      </x:c>
      <x:c r="E20" s="30" t="str">
        <x:v>BzATP</x:v>
      </x:c>
      <x:c r="F20" s="31" t="n">
        <x:v>200</x:v>
      </x:c>
      <x:c r="G20" s="63" t="n">
        <x:f>IF(E20="","",IF(E20="BzATP",'Планшет'!$F$5,IF(E20="Cabozantinib",'Планшет'!$F$6,IF(E20="Axitinib",'Планшет'!$F$7,IF(E20="HEI3090",'Планшет'!$F$8,"")))))</x:f>
        <x:v>5000</x:v>
      </x:c>
      <x:c r="H20" s="63" t="n">
        <x:f>IF(E20="","",IFERROR((F20/G20)*'Планшет'!$B$5/(1-F20/G20-IF(I20="",0,J20/K20)),0))</x:f>
        <x:v>4.166666666666667</x:v>
      </x:c>
      <x:c r="I20" s="63" t="str"/>
      <x:c r="J20" s="31" t="n">
        <x:v>0</x:v>
      </x:c>
      <x:c r="K20" s="63" t="str">
        <x:f>IF(I20="","",IF(I20="BzATP",'Планшет'!$F$5,IF(I20="Cabozantinib",'Планшет'!$F$6,IF(I20="Axitinib",'Планшет'!$F$7,IF(I20="HEI3090",'Планшет'!$F$8,"")))))</x:f>
      </x:c>
      <x:c r="L20" s="63" t="n">
        <x:f>IF(I20="",0,IFERROR((J20/K20)*'Планшет'!$B$5/(1-F20/G20-J20/K20),0))</x:f>
        <x:v>0</x:v>
      </x:c>
    </x:row>
    <x:row r="21">
      <x:c r="A21" s="30" t="n">
        <x:v>18</x:v>
      </x:c>
      <x:c r="B21" s="30" t="str">
        <x:v>B</x:v>
      </x:c>
      <x:c r="C21" s="30" t="n">
        <x:v>3</x:v>
      </x:c>
      <x:c r="D21" s="30" t="str">
        <x:v>Cabozantinib 12 µM</x:v>
      </x:c>
      <x:c r="E21" s="30" t="str">
        <x:v>Cabozantinib</x:v>
      </x:c>
      <x:c r="F21" s="31" t="n">
        <x:v>12</x:v>
      </x:c>
      <x:c r="G21" s="63" t="n">
        <x:f>IF(E21="","",IF(E21="BzATP",'Планшет'!$F$5,IF(E21="Cabozantinib",'Планшет'!$F$6,IF(E21="Axitinib",'Планшет'!$F$7,IF(E21="HEI3090",'Планшет'!$F$8,"")))))</x:f>
        <x:v>200</x:v>
      </x:c>
      <x:c r="H21" s="63" t="n">
        <x:f>IF(E21="","",IFERROR((F21/G21)*'Планшет'!$B$5/(1-F21/G21-IF(I21="",0,J21/K21)),0))</x:f>
        <x:v>6.382978723404256</x:v>
      </x:c>
      <x:c r="I21" s="63" t="str"/>
      <x:c r="J21" s="31" t="n">
        <x:v>0</x:v>
      </x:c>
      <x:c r="K21" s="63" t="str">
        <x:f>IF(I21="","",IF(I21="BzATP",'Планшет'!$F$5,IF(I21="Cabozantinib",'Планшет'!$F$6,IF(I21="Axitinib",'Планшет'!$F$7,IF(I21="HEI3090",'Планшет'!$F$8,"")))))</x:f>
      </x:c>
      <x:c r="L21" s="63" t="n">
        <x:f>IF(I21="",0,IFERROR((J21/K21)*'Планшет'!$B$5/(1-F21/G21-J21/K21),0))</x:f>
        <x:v>0</x:v>
      </x:c>
    </x:row>
    <x:row r="22">
      <x:c r="A22" s="30" t="n">
        <x:v>19</x:v>
      </x:c>
      <x:c r="B22" s="30" t="str">
        <x:v>C</x:v>
      </x:c>
      <x:c r="C22" s="30" t="n">
        <x:v>3</x:v>
      </x:c>
      <x:c r="D22" s="30" t="str">
        <x:v>Cabozantinib 12 µM + BzATP 200 µM</x:v>
      </x:c>
      <x:c r="E22" s="30" t="str">
        <x:v>Cabozantinib</x:v>
      </x:c>
      <x:c r="F22" s="31" t="n">
        <x:v>12</x:v>
      </x:c>
      <x:c r="G22" s="63" t="n">
        <x:f>IF(E22="","",IF(E22="BzATP",'Планшет'!$F$5,IF(E22="Cabozantinib",'Планшет'!$F$6,IF(E22="Axitinib",'Планшет'!$F$7,IF(E22="HEI3090",'Планшет'!$F$8,"")))))</x:f>
        <x:v>200</x:v>
      </x:c>
      <x:c r="H22" s="63" t="n">
        <x:f>IF(E22="","",IFERROR((F22/G22)*'Планшет'!$B$5/(1-F22/G22-IF(I22="",0,J22/K22)),0))</x:f>
        <x:v>6.666666666666667</x:v>
      </x:c>
      <x:c r="I22" s="63" t="str">
        <x:v>BzATP</x:v>
      </x:c>
      <x:c r="J22" s="31" t="n">
        <x:v>200</x:v>
      </x:c>
      <x:c r="K22" s="63" t="n">
        <x:f>IF(I22="","",IF(I22="BzATP",'Планшет'!$F$5,IF(I22="Cabozantinib",'Планшет'!$F$6,IF(I22="Axitinib",'Планшет'!$F$7,IF(I22="HEI3090",'Планшет'!$F$8,"")))))</x:f>
        <x:v>5000</x:v>
      </x:c>
      <x:c r="L22" s="63" t="n">
        <x:f>IF(I22="",0,IFERROR((J22/K22)*'Планшет'!$B$5/(1-F22/G22-J22/K22),0))</x:f>
        <x:v>4.444444444444445</x:v>
      </x:c>
    </x:row>
    <x:row r="23">
      <x:c r="A23" s="30" t="n">
        <x:v>20</x:v>
      </x:c>
      <x:c r="B23" s="30" t="str">
        <x:v>D</x:v>
      </x:c>
      <x:c r="C23" s="30" t="n">
        <x:v>3</x:v>
      </x:c>
      <x:c r="D23" s="30" t="str">
        <x:v>Axitinib 3 µM</x:v>
      </x:c>
      <x:c r="E23" s="30" t="str">
        <x:v>Axitinib</x:v>
      </x:c>
      <x:c r="F23" s="31" t="n">
        <x:v>3</x:v>
      </x:c>
      <x:c r="G23" s="63" t="n">
        <x:f>IF(E23="","",IF(E23="BzATP",'Планшет'!$F$5,IF(E23="Cabozantinib",'Планшет'!$F$6,IF(E23="Axitinib",'Планшет'!$F$7,IF(E23="HEI3090",'Планшет'!$F$8,"")))))</x:f>
        <x:v>50</x:v>
      </x:c>
      <x:c r="H23" s="63" t="n">
        <x:f>IF(E23="","",IFERROR((F23/G23)*'Планшет'!$B$5/(1-F23/G23-IF(I23="",0,J23/K23)),0))</x:f>
        <x:v>6.382978723404256</x:v>
      </x:c>
      <x:c r="I23" s="63" t="str"/>
      <x:c r="J23" s="31" t="n">
        <x:v>0</x:v>
      </x:c>
      <x:c r="K23" s="63" t="str">
        <x:f>IF(I23="","",IF(I23="BzATP",'Планшет'!$F$5,IF(I23="Cabozantinib",'Планшет'!$F$6,IF(I23="Axitinib",'Планшет'!$F$7,IF(I23="HEI3090",'Планшет'!$F$8,"")))))</x:f>
      </x:c>
      <x:c r="L23" s="63" t="n">
        <x:f>IF(I23="",0,IFERROR((J23/K23)*'Планшет'!$B$5/(1-F23/G23-J23/K23),0))</x:f>
        <x:v>0</x:v>
      </x:c>
    </x:row>
    <x:row r="24">
      <x:c r="A24" s="30" t="n">
        <x:v>21</x:v>
      </x:c>
      <x:c r="B24" s="30" t="str">
        <x:v>E</x:v>
      </x:c>
      <x:c r="C24" s="30" t="n">
        <x:v>3</x:v>
      </x:c>
      <x:c r="D24" s="30" t="str">
        <x:v>Axitinib 3 µM + BzATP 200 µM</x:v>
      </x:c>
      <x:c r="E24" s="30" t="str">
        <x:v>Axitinib</x:v>
      </x:c>
      <x:c r="F24" s="31" t="n">
        <x:v>3</x:v>
      </x:c>
      <x:c r="G24" s="63" t="n">
        <x:f>IF(E24="","",IF(E24="BzATP",'Планшет'!$F$5,IF(E24="Cabozantinib",'Планшет'!$F$6,IF(E24="Axitinib",'Планшет'!$F$7,IF(E24="HEI3090",'Планшет'!$F$8,"")))))</x:f>
        <x:v>50</x:v>
      </x:c>
      <x:c r="H24" s="63" t="n">
        <x:f>IF(E24="","",IFERROR((F24/G24)*'Планшет'!$B$5/(1-F24/G24-IF(I24="",0,J24/K24)),0))</x:f>
        <x:v>6.666666666666667</x:v>
      </x:c>
      <x:c r="I24" s="63" t="str">
        <x:v>BzATP</x:v>
      </x:c>
      <x:c r="J24" s="31" t="n">
        <x:v>200</x:v>
      </x:c>
      <x:c r="K24" s="63" t="n">
        <x:f>IF(I24="","",IF(I24="BzATP",'Планшет'!$F$5,IF(I24="Cabozantinib",'Планшет'!$F$6,IF(I24="Axitinib",'Планшет'!$F$7,IF(I24="HEI3090",'Планшет'!$F$8,"")))))</x:f>
        <x:v>5000</x:v>
      </x:c>
      <x:c r="L24" s="63" t="n">
        <x:f>IF(I24="",0,IFERROR((J24/K24)*'Планшет'!$B$5/(1-F24/G24-J24/K24),0))</x:f>
        <x:v>4.444444444444445</x:v>
      </x:c>
    </x:row>
    <x:row r="25">
      <x:c r="A25" s="30" t="n">
        <x:v>22</x:v>
      </x:c>
      <x:c r="B25" s="30" t="str">
        <x:v>F</x:v>
      </x:c>
      <x:c r="C25" s="30" t="n">
        <x:v>3</x:v>
      </x:c>
      <x:c r="D25" s="30" t="str">
        <x:v>BzATP 100 µM</x:v>
      </x:c>
      <x:c r="E25" s="30" t="str">
        <x:v>BzATP</x:v>
      </x:c>
      <x:c r="F25" s="31" t="n">
        <x:v>100</x:v>
      </x:c>
      <x:c r="G25" s="63" t="n">
        <x:f>IF(E25="","",IF(E25="BzATP",'Планшет'!$F$5,IF(E25="Cabozantinib",'Планшет'!$F$6,IF(E25="Axitinib",'Планшет'!$F$7,IF(E25="HEI3090",'Планшет'!$F$8,"")))))</x:f>
        <x:v>5000</x:v>
      </x:c>
      <x:c r="H25" s="63" t="n">
        <x:f>IF(E25="","",IFERROR((F25/G25)*'Планшет'!$B$5/(1-F25/G25-IF(I25="",0,J25/K25)),0))</x:f>
        <x:v>2.0408163265306123</x:v>
      </x:c>
      <x:c r="I25" s="63" t="str"/>
      <x:c r="J25" s="31" t="n">
        <x:v>0</x:v>
      </x:c>
      <x:c r="K25" s="63" t="str">
        <x:f>IF(I25="","",IF(I25="BzATP",'Планшет'!$F$5,IF(I25="Cabozantinib",'Планшет'!$F$6,IF(I25="Axitinib",'Планшет'!$F$7,IF(I25="HEI3090",'Планшет'!$F$8,"")))))</x:f>
      </x:c>
      <x:c r="L25" s="63" t="n">
        <x:f>IF(I25="",0,IFERROR((J25/K25)*'Планшет'!$B$5/(1-F25/G25-J25/K25),0))</x:f>
        <x:v>0</x:v>
      </x:c>
    </x:row>
    <x:row r="26">
      <x:c r="A26" s="30" t="n">
        <x:v>23</x:v>
      </x:c>
      <x:c r="B26" s="30" t="str">
        <x:v>G</x:v>
      </x:c>
      <x:c r="C26" s="30" t="n">
        <x:v>3</x:v>
      </x:c>
      <x:c r="D26" s="30" t="str">
        <x:v>BzATP 100 µM + HEI3090 100 nM</x:v>
      </x:c>
      <x:c r="E26" s="30" t="str">
        <x:v>BzATP</x:v>
      </x:c>
      <x:c r="F26" s="31" t="n">
        <x:v>100</x:v>
      </x:c>
      <x:c r="G26" s="63" t="n">
        <x:f>IF(E26="","",IF(E26="BzATP",'Планшет'!$F$5,IF(E26="Cabozantinib",'Планшет'!$F$6,IF(E26="Axitinib",'Планшет'!$F$7,IF(E26="HEI3090",'Планшет'!$F$8,"")))))</x:f>
        <x:v>5000</x:v>
      </x:c>
      <x:c r="H26" s="63" t="n">
        <x:f>IF(E26="","",IFERROR((F26/G26)*'Планшет'!$B$5/(1-F26/G26-IF(I26="",0,J26/K26)),0))</x:f>
        <x:v>2.061855670103093</x:v>
      </x:c>
      <x:c r="I26" s="63" t="str">
        <x:v>HEI3090</x:v>
      </x:c>
      <x:c r="J26" s="31" t="n">
        <x:v>0.1</x:v>
      </x:c>
      <x:c r="K26" s="63" t="n">
        <x:f>IF(I26="","",IF(I26="BzATP",'Планшет'!$F$5,IF(I26="Cabozantinib",'Планшет'!$F$6,IF(I26="Axitinib",'Планшет'!$F$7,IF(I26="HEI3090",'Планшет'!$F$8,"")))))</x:f>
        <x:v>10</x:v>
      </x:c>
      <x:c r="L26" s="63" t="n">
        <x:f>IF(I26="",0,IFERROR((J26/K26)*'Планшет'!$B$5/(1-F26/G26-J26/K26),0))</x:f>
        <x:v>1.0309278350515465</x:v>
      </x:c>
    </x:row>
    <x:row r="27">
      <x:c r="A27" s="30" t="n">
        <x:v>24</x:v>
      </x:c>
      <x:c r="B27" s="30" t="str">
        <x:v>H</x:v>
      </x:c>
      <x:c r="C27" s="30" t="n">
        <x:v>3</x:v>
      </x:c>
      <x:c r="D27" s="30" t="str">
        <x:v>Medium</x:v>
      </x:c>
      <x:c r="E27" s="30" t="str"/>
      <x:c r="F27" s="31" t="n">
        <x:v>0</x:v>
      </x:c>
      <x:c r="G27" s="63" t="str">
        <x:f>IF(E27="","",IF(E27="BzATP",'Планшет'!$F$5,IF(E27="Cabozantinib",'Планшет'!$F$6,IF(E27="Axitinib",'Планшет'!$F$7,IF(E27="HEI3090",'Планшет'!$F$8,"")))))</x:f>
      </x:c>
      <x:c r="H27" s="63" t="str">
        <x:f>IF(E27="","",IFERROR((F27/G27)*'Планшет'!$B$5/(1-F27/G27-IF(I27="",0,J27/K27)),0))</x:f>
      </x:c>
      <x:c r="I27" s="63" t="str"/>
      <x:c r="J27" s="31" t="n">
        <x:v>0</x:v>
      </x:c>
      <x:c r="K27" s="63" t="str">
        <x:f>IF(I27="","",IF(I27="BzATP",'Планшет'!$F$5,IF(I27="Cabozantinib",'Планшет'!$F$6,IF(I27="Axitinib",'Планшет'!$F$7,IF(I27="HEI3090",'Планшет'!$F$8,"")))))</x:f>
      </x:c>
      <x:c r="L27" s="63" t="n">
        <x:f>IF(I27="",0,IFERROR((J27/K27)*'Планшет'!$B$5/(1-F27/G27-J27/K27),0))</x:f>
        <x:v>0</x:v>
      </x:c>
    </x:row>
    <x:row r="28">
      <x:c r="A28" s="30" t="n">
        <x:v>25</x:v>
      </x:c>
      <x:c r="B28" s="30" t="str">
        <x:v>A</x:v>
      </x:c>
      <x:c r="C28" s="30" t="n">
        <x:v>4</x:v>
      </x:c>
      <x:c r="D28" s="30" t="str">
        <x:v>BzATP 200 µM</x:v>
      </x:c>
      <x:c r="E28" s="30" t="str">
        <x:v>BzATP</x:v>
      </x:c>
      <x:c r="F28" s="31" t="n">
        <x:v>200</x:v>
      </x:c>
      <x:c r="G28" s="63" t="n">
        <x:f>IF(E28="","",IF(E28="BzATP",'Планшет'!$F$5,IF(E28="Cabozantinib",'Планшет'!$F$6,IF(E28="Axitinib",'Планшет'!$F$7,IF(E28="HEI3090",'Планшет'!$F$8,"")))))</x:f>
        <x:v>5000</x:v>
      </x:c>
      <x:c r="H28" s="63" t="n">
        <x:f>IF(E28="","",IFERROR((F28/G28)*'Планшет'!$B$5/(1-F28/G28-IF(I28="",0,J28/K28)),0))</x:f>
        <x:v>4.166666666666667</x:v>
      </x:c>
      <x:c r="I28" s="63" t="str"/>
      <x:c r="J28" s="31" t="n">
        <x:v>0</x:v>
      </x:c>
      <x:c r="K28" s="63" t="str">
        <x:f>IF(I28="","",IF(I28="BzATP",'Планшет'!$F$5,IF(I28="Cabozantinib",'Планшет'!$F$6,IF(I28="Axitinib",'Планшет'!$F$7,IF(I28="HEI3090",'Планшет'!$F$8,"")))))</x:f>
      </x:c>
      <x:c r="L28" s="63" t="n">
        <x:f>IF(I28="",0,IFERROR((J28/K28)*'Планшет'!$B$5/(1-F28/G28-J28/K28),0))</x:f>
        <x:v>0</x:v>
      </x:c>
    </x:row>
    <x:row r="29">
      <x:c r="A29" s="30" t="n">
        <x:v>26</x:v>
      </x:c>
      <x:c r="B29" s="30" t="str">
        <x:v>B</x:v>
      </x:c>
      <x:c r="C29" s="30" t="n">
        <x:v>4</x:v>
      </x:c>
      <x:c r="D29" s="30" t="str">
        <x:v>Cabozantinib 16 µM</x:v>
      </x:c>
      <x:c r="E29" s="30" t="str">
        <x:v>Cabozantinib</x:v>
      </x:c>
      <x:c r="F29" s="31" t="n">
        <x:v>16</x:v>
      </x:c>
      <x:c r="G29" s="63" t="n">
        <x:f>IF(E29="","",IF(E29="BzATP",'Планшет'!$F$5,IF(E29="Cabozantinib",'Планшет'!$F$6,IF(E29="Axitinib",'Планшет'!$F$7,IF(E29="HEI3090",'Планшет'!$F$8,"")))))</x:f>
        <x:v>200</x:v>
      </x:c>
      <x:c r="H29" s="63" t="n">
        <x:f>IF(E29="","",IFERROR((F29/G29)*'Планшет'!$B$5/(1-F29/G29-IF(I29="",0,J29/K29)),0))</x:f>
        <x:v>8.695652173913043</x:v>
      </x:c>
      <x:c r="I29" s="63" t="str"/>
      <x:c r="J29" s="31" t="n">
        <x:v>0</x:v>
      </x:c>
      <x:c r="K29" s="63" t="str">
        <x:f>IF(I29="","",IF(I29="BzATP",'Планшет'!$F$5,IF(I29="Cabozantinib",'Планшет'!$F$6,IF(I29="Axitinib",'Планшет'!$F$7,IF(I29="HEI3090",'Планшет'!$F$8,"")))))</x:f>
      </x:c>
      <x:c r="L29" s="63" t="n">
        <x:f>IF(I29="",0,IFERROR((J29/K29)*'Планшет'!$B$5/(1-F29/G29-J29/K29),0))</x:f>
        <x:v>0</x:v>
      </x:c>
    </x:row>
    <x:row r="30">
      <x:c r="A30" s="30" t="n">
        <x:v>27</x:v>
      </x:c>
      <x:c r="B30" s="30" t="str">
        <x:v>C</x:v>
      </x:c>
      <x:c r="C30" s="30" t="n">
        <x:v>4</x:v>
      </x:c>
      <x:c r="D30" s="30" t="str">
        <x:v>Cabozantinib 16 µM + BzATP 200 µM</x:v>
      </x:c>
      <x:c r="E30" s="30" t="str">
        <x:v>Cabozantinib</x:v>
      </x:c>
      <x:c r="F30" s="31" t="n">
        <x:v>16</x:v>
      </x:c>
      <x:c r="G30" s="63" t="n">
        <x:f>IF(E30="","",IF(E30="BzATP",'Планшет'!$F$5,IF(E30="Cabozantinib",'Планшет'!$F$6,IF(E30="Axitinib",'Планшет'!$F$7,IF(E30="HEI3090",'Планшет'!$F$8,"")))))</x:f>
        <x:v>200</x:v>
      </x:c>
      <x:c r="H30" s="63" t="n">
        <x:f>IF(E30="","",IFERROR((F30/G30)*'Планшет'!$B$5/(1-F30/G30-IF(I30="",0,J30/K30)),0))</x:f>
        <x:v>9.090909090909092</x:v>
      </x:c>
      <x:c r="I30" s="63" t="str">
        <x:v>BzATP</x:v>
      </x:c>
      <x:c r="J30" s="31" t="n">
        <x:v>200</x:v>
      </x:c>
      <x:c r="K30" s="63" t="n">
        <x:f>IF(I30="","",IF(I30="BzATP",'Планшет'!$F$5,IF(I30="Cabozantinib",'Планшет'!$F$6,IF(I30="Axitinib",'Планшет'!$F$7,IF(I30="HEI3090",'Планшет'!$F$8,"")))))</x:f>
        <x:v>5000</x:v>
      </x:c>
      <x:c r="L30" s="63" t="n">
        <x:f>IF(I30="",0,IFERROR((J30/K30)*'Планшет'!$B$5/(1-F30/G30-J30/K30),0))</x:f>
        <x:v>4.545454545454546</x:v>
      </x:c>
    </x:row>
    <x:row r="31">
      <x:c r="A31" s="30" t="n">
        <x:v>28</x:v>
      </x:c>
      <x:c r="B31" s="30" t="str">
        <x:v>D</x:v>
      </x:c>
      <x:c r="C31" s="30" t="n">
        <x:v>4</x:v>
      </x:c>
      <x:c r="D31" s="30" t="str">
        <x:v>Axitinib 4 µM</x:v>
      </x:c>
      <x:c r="E31" s="30" t="str">
        <x:v>Axitinib</x:v>
      </x:c>
      <x:c r="F31" s="31" t="n">
        <x:v>4</x:v>
      </x:c>
      <x:c r="G31" s="63" t="n">
        <x:f>IF(E31="","",IF(E31="BzATP",'Планшет'!$F$5,IF(E31="Cabozantinib",'Планшет'!$F$6,IF(E31="Axitinib",'Планшет'!$F$7,IF(E31="HEI3090",'Планшет'!$F$8,"")))))</x:f>
        <x:v>50</x:v>
      </x:c>
      <x:c r="H31" s="63" t="n">
        <x:f>IF(E31="","",IFERROR((F31/G31)*'Планшет'!$B$5/(1-F31/G31-IF(I31="",0,J31/K31)),0))</x:f>
        <x:v>8.695652173913043</x:v>
      </x:c>
      <x:c r="I31" s="63" t="str"/>
      <x:c r="J31" s="31" t="n">
        <x:v>0</x:v>
      </x:c>
      <x:c r="K31" s="63" t="str">
        <x:f>IF(I31="","",IF(I31="BzATP",'Планшет'!$F$5,IF(I31="Cabozantinib",'Планшет'!$F$6,IF(I31="Axitinib",'Планшет'!$F$7,IF(I31="HEI3090",'Планшет'!$F$8,"")))))</x:f>
      </x:c>
      <x:c r="L31" s="63" t="n">
        <x:f>IF(I31="",0,IFERROR((J31/K31)*'Планшет'!$B$5/(1-F31/G31-J31/K31),0))</x:f>
        <x:v>0</x:v>
      </x:c>
    </x:row>
    <x:row r="32">
      <x:c r="A32" s="30" t="n">
        <x:v>29</x:v>
      </x:c>
      <x:c r="B32" s="30" t="str">
        <x:v>E</x:v>
      </x:c>
      <x:c r="C32" s="30" t="n">
        <x:v>4</x:v>
      </x:c>
      <x:c r="D32" s="30" t="str">
        <x:v>Axitinib 4 µM + BzATP 200 µM</x:v>
      </x:c>
      <x:c r="E32" s="30" t="str">
        <x:v>Axitinib</x:v>
      </x:c>
      <x:c r="F32" s="31" t="n">
        <x:v>4</x:v>
      </x:c>
      <x:c r="G32" s="63" t="n">
        <x:f>IF(E32="","",IF(E32="BzATP",'Планшет'!$F$5,IF(E32="Cabozantinib",'Планшет'!$F$6,IF(E32="Axitinib",'Планшет'!$F$7,IF(E32="HEI3090",'Планшет'!$F$8,"")))))</x:f>
        <x:v>50</x:v>
      </x:c>
      <x:c r="H32" s="63" t="n">
        <x:f>IF(E32="","",IFERROR((F32/G32)*'Планшет'!$B$5/(1-F32/G32-IF(I32="",0,J32/K32)),0))</x:f>
        <x:v>9.090909090909092</x:v>
      </x:c>
      <x:c r="I32" s="63" t="str">
        <x:v>BzATP</x:v>
      </x:c>
      <x:c r="J32" s="31" t="n">
        <x:v>200</x:v>
      </x:c>
      <x:c r="K32" s="63" t="n">
        <x:f>IF(I32="","",IF(I32="BzATP",'Планшет'!$F$5,IF(I32="Cabozantinib",'Планшет'!$F$6,IF(I32="Axitinib",'Планшет'!$F$7,IF(I32="HEI3090",'Планшет'!$F$8,"")))))</x:f>
        <x:v>5000</x:v>
      </x:c>
      <x:c r="L32" s="63" t="n">
        <x:f>IF(I32="",0,IFERROR((J32/K32)*'Планшет'!$B$5/(1-F32/G32-J32/K32),0))</x:f>
        <x:v>4.545454545454546</x:v>
      </x:c>
    </x:row>
    <x:row r="33">
      <x:c r="A33" s="30" t="n">
        <x:v>30</x:v>
      </x:c>
      <x:c r="B33" s="30" t="str">
        <x:v>F</x:v>
      </x:c>
      <x:c r="C33" s="30" t="n">
        <x:v>4</x:v>
      </x:c>
      <x:c r="D33" s="30" t="str">
        <x:v>BzATP 200 µM</x:v>
      </x:c>
      <x:c r="E33" s="30" t="str">
        <x:v>BzATP</x:v>
      </x:c>
      <x:c r="F33" s="31" t="n">
        <x:v>200</x:v>
      </x:c>
      <x:c r="G33" s="63" t="n">
        <x:f>IF(E33="","",IF(E33="BzATP",'Планшет'!$F$5,IF(E33="Cabozantinib",'Планшет'!$F$6,IF(E33="Axitinib",'Планшет'!$F$7,IF(E33="HEI3090",'Планшет'!$F$8,"")))))</x:f>
        <x:v>5000</x:v>
      </x:c>
      <x:c r="H33" s="63" t="n">
        <x:f>IF(E33="","",IFERROR((F33/G33)*'Планшет'!$B$5/(1-F33/G33-IF(I33="",0,J33/K33)),0))</x:f>
        <x:v>4.166666666666667</x:v>
      </x:c>
      <x:c r="I33" s="63" t="str"/>
      <x:c r="J33" s="31" t="n">
        <x:v>0</x:v>
      </x:c>
      <x:c r="K33" s="63" t="str">
        <x:f>IF(I33="","",IF(I33="BzATP",'Планшет'!$F$5,IF(I33="Cabozantinib",'Планшет'!$F$6,IF(I33="Axitinib",'Планшет'!$F$7,IF(I33="HEI3090",'Планшет'!$F$8,"")))))</x:f>
      </x:c>
      <x:c r="L33" s="63" t="n">
        <x:f>IF(I33="",0,IFERROR((J33/K33)*'Планшет'!$B$5/(1-F33/G33-J33/K33),0))</x:f>
        <x:v>0</x:v>
      </x:c>
    </x:row>
    <x:row r="34">
      <x:c r="A34" s="30" t="n">
        <x:v>31</x:v>
      </x:c>
      <x:c r="B34" s="30" t="str">
        <x:v>G</x:v>
      </x:c>
      <x:c r="C34" s="30" t="n">
        <x:v>4</x:v>
      </x:c>
      <x:c r="D34" s="30" t="str">
        <x:v>BzATP 200 µM + HEI3090 100 nM</x:v>
      </x:c>
      <x:c r="E34" s="30" t="str">
        <x:v>BzATP</x:v>
      </x:c>
      <x:c r="F34" s="31" t="n">
        <x:v>200</x:v>
      </x:c>
      <x:c r="G34" s="63" t="n">
        <x:f>IF(E34="","",IF(E34="BzATP",'Планшет'!$F$5,IF(E34="Cabozantinib",'Планшет'!$F$6,IF(E34="Axitinib",'Планшет'!$F$7,IF(E34="HEI3090",'Планшет'!$F$8,"")))))</x:f>
        <x:v>5000</x:v>
      </x:c>
      <x:c r="H34" s="63" t="n">
        <x:f>IF(E34="","",IFERROR((F34/G34)*'Планшет'!$B$5/(1-F34/G34-IF(I34="",0,J34/K34)),0))</x:f>
        <x:v>4.2105263157894735</x:v>
      </x:c>
      <x:c r="I34" s="63" t="str">
        <x:v>HEI3090</x:v>
      </x:c>
      <x:c r="J34" s="31" t="n">
        <x:v>0.1</x:v>
      </x:c>
      <x:c r="K34" s="63" t="n">
        <x:f>IF(I34="","",IF(I34="BzATP",'Планшет'!$F$5,IF(I34="Cabozantinib",'Планшет'!$F$6,IF(I34="Axitinib",'Планшет'!$F$7,IF(I34="HEI3090",'Планшет'!$F$8,"")))))</x:f>
        <x:v>10</x:v>
      </x:c>
      <x:c r="L34" s="63" t="n">
        <x:f>IF(I34="",0,IFERROR((J34/K34)*'Планшет'!$B$5/(1-F34/G34-J34/K34),0))</x:f>
        <x:v>1.0526315789473684</x:v>
      </x:c>
    </x:row>
    <x:row r="35">
      <x:c r="A35" s="30" t="n">
        <x:v>32</x:v>
      </x:c>
      <x:c r="B35" s="30" t="str">
        <x:v>H</x:v>
      </x:c>
      <x:c r="C35" s="30" t="n">
        <x:v>4</x:v>
      </x:c>
      <x:c r="D35" s="30" t="str">
        <x:v>Blank</x:v>
      </x:c>
      <x:c r="E35" s="30" t="str"/>
      <x:c r="F35" s="31" t="n">
        <x:v>0</x:v>
      </x:c>
      <x:c r="G35" s="63" t="str">
        <x:f>IF(E35="","",IF(E35="BzATP",'Планшет'!$F$5,IF(E35="Cabozantinib",'Планшет'!$F$6,IF(E35="Axitinib",'Планшет'!$F$7,IF(E35="HEI3090",'Планшет'!$F$8,"")))))</x:f>
      </x:c>
      <x:c r="H35" s="63" t="str">
        <x:f>IF(E35="","",IFERROR((F35/G35)*'Планшет'!$B$5/(1-F35/G35-IF(I35="",0,J35/K35)),0))</x:f>
      </x:c>
      <x:c r="I35" s="63" t="str"/>
      <x:c r="J35" s="31" t="n">
        <x:v>0</x:v>
      </x:c>
      <x:c r="K35" s="63" t="str">
        <x:f>IF(I35="","",IF(I35="BzATP",'Планшет'!$F$5,IF(I35="Cabozantinib",'Планшет'!$F$6,IF(I35="Axitinib",'Планшет'!$F$7,IF(I35="HEI3090",'Планшет'!$F$8,"")))))</x:f>
      </x:c>
      <x:c r="L35" s="63" t="n">
        <x:f>IF(I35="",0,IFERROR((J35/K35)*'Планшет'!$B$5/(1-F35/G35-J35/K35),0))</x:f>
        <x:v>0</x:v>
      </x:c>
    </x:row>
  </x:sheetData>
  <x:mergeCells>
    <x:mergeCell ref="A1:L1"/>
  </x:mergeCells>
  <x:conditionalFormatting sqref="H4:H35">
    <x:cfRule type="cellIs" dxfId="1" priority="1" operator="lessThan">
      <x:formula>0.5</x:formula>
    </x:cfRule>
  </x:conditionalFormatting>
  <x:conditionalFormatting sqref="L4:L35">
    <x:cfRule type="cellIs" dxfId="2" priority="2" operator="lessThan">
      <x:formula>0.5</x:formula>
    </x:cfRule>
  </x:conditionalFormatting>
  <x:pageMargins left="0.7" right="0.7" top="0.75" bottom="0.75" header="0.3" footer="0.3"/>
</x:worksheet>
</file>